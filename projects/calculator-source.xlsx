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activeTab="6"/>
  </bookViews>
  <sheets>
    <sheet name="展示总表" sheetId="2" r:id="rId1"/>
    <sheet name="直流侧成本构成" sheetId="12" r:id="rId2"/>
    <sheet name="交流侧成本构成" sheetId="4" r:id="rId3"/>
    <sheet name="施工耗材基建成本构成" sheetId="5" r:id="rId4"/>
    <sheet name="运营期间费用构成" sheetId="6" r:id="rId5"/>
    <sheet name="累计充电电费及累计放电量" sheetId="7" r:id="rId6"/>
    <sheet name="经济性测算" sheetId="13" r:id="rId7"/>
  </sheets>
  <definedNames>
    <definedName name="table">#REF!</definedName>
    <definedName name="table1">#REF!</definedName>
    <definedName name="table2">#REF!</definedName>
    <definedName name="table3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2" l="1"/>
  <c r="P7" i="12"/>
  <c r="O10" i="12"/>
  <c r="N10" i="12"/>
  <c r="N11" i="12" l="1"/>
  <c r="H45" i="5" l="1"/>
  <c r="P11" i="12"/>
  <c r="P12" i="12" s="1"/>
  <c r="D5" i="13" l="1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C5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C4" i="13"/>
  <c r="N2" i="12"/>
  <c r="G2" i="12"/>
  <c r="P5" i="12" l="1"/>
  <c r="P3" i="12"/>
  <c r="J31" i="2" l="1"/>
  <c r="J30" i="2"/>
  <c r="H31" i="2"/>
  <c r="I31" i="2"/>
  <c r="H30" i="2"/>
  <c r="I30" i="2"/>
  <c r="H29" i="2"/>
  <c r="I29" i="2"/>
  <c r="I28" i="2"/>
  <c r="H28" i="2"/>
  <c r="I27" i="2"/>
  <c r="H27" i="2"/>
  <c r="U47" i="7"/>
  <c r="N47" i="7"/>
  <c r="M47" i="7"/>
  <c r="T47" i="7"/>
  <c r="S47" i="7"/>
  <c r="R47" i="7"/>
  <c r="Q47" i="7"/>
  <c r="P47" i="7"/>
  <c r="O47" i="7"/>
  <c r="L47" i="7"/>
  <c r="K47" i="7"/>
  <c r="J47" i="7"/>
  <c r="I47" i="7"/>
  <c r="H47" i="7"/>
  <c r="G47" i="7"/>
  <c r="F47" i="7"/>
  <c r="E47" i="7"/>
  <c r="D47" i="7"/>
  <c r="C47" i="7"/>
  <c r="B47" i="7"/>
  <c r="N5" i="12"/>
  <c r="R8" i="12"/>
  <c r="Q2" i="12"/>
  <c r="N4" i="12"/>
  <c r="N3" i="12"/>
  <c r="S29" i="2" l="1"/>
  <c r="S28" i="2"/>
  <c r="U23" i="2"/>
  <c r="U22" i="2"/>
  <c r="U21" i="2"/>
  <c r="U20" i="2"/>
  <c r="V18" i="2"/>
  <c r="X16" i="2"/>
  <c r="X17" i="2" s="1"/>
  <c r="W5" i="2"/>
  <c r="X11" i="2"/>
  <c r="X10" i="2"/>
  <c r="X6" i="2"/>
  <c r="X5" i="2"/>
  <c r="R7" i="12" l="1"/>
  <c r="S12" i="2" l="1"/>
  <c r="K8" i="12"/>
  <c r="Q41" i="7" l="1"/>
  <c r="R41" i="7"/>
  <c r="S41" i="7"/>
  <c r="T41" i="7"/>
  <c r="P41" i="7"/>
  <c r="Q36" i="7"/>
  <c r="R36" i="7"/>
  <c r="S36" i="7"/>
  <c r="T36" i="7"/>
  <c r="P36" i="7"/>
  <c r="Q31" i="7"/>
  <c r="R31" i="7"/>
  <c r="S31" i="7"/>
  <c r="T31" i="7"/>
  <c r="P31" i="7"/>
  <c r="R26" i="7"/>
  <c r="S26" i="7"/>
  <c r="T26" i="7"/>
  <c r="Q26" i="7"/>
  <c r="P26" i="7"/>
  <c r="D15" i="7" l="1"/>
  <c r="R3" i="12" l="1"/>
  <c r="R4" i="12"/>
  <c r="R5" i="12"/>
  <c r="R6" i="12"/>
  <c r="R2" i="12"/>
  <c r="R21" i="6"/>
  <c r="S21" i="6"/>
  <c r="T21" i="6"/>
  <c r="U21" i="6"/>
  <c r="V21" i="6"/>
  <c r="R9" i="6"/>
  <c r="S9" i="6"/>
  <c r="V9" i="6"/>
  <c r="R6" i="6"/>
  <c r="S6" i="6"/>
  <c r="T6" i="6"/>
  <c r="U6" i="6"/>
  <c r="V6" i="6"/>
  <c r="T9" i="6"/>
  <c r="U9" i="6"/>
  <c r="H12" i="12"/>
  <c r="H10" i="12"/>
  <c r="Q42" i="7" l="1"/>
  <c r="S42" i="7"/>
  <c r="U42" i="7"/>
  <c r="R42" i="7"/>
  <c r="T42" i="7"/>
  <c r="Q37" i="7"/>
  <c r="R37" i="7"/>
  <c r="S37" i="7"/>
  <c r="T37" i="7"/>
  <c r="U37" i="7"/>
  <c r="Q32" i="7"/>
  <c r="S32" i="7"/>
  <c r="U32" i="7"/>
  <c r="R32" i="7"/>
  <c r="T32" i="7"/>
  <c r="Q27" i="7"/>
  <c r="S27" i="7"/>
  <c r="R27" i="7"/>
  <c r="T27" i="7"/>
  <c r="U27" i="7"/>
  <c r="Q22" i="7"/>
  <c r="S22" i="7"/>
  <c r="R22" i="7"/>
  <c r="T22" i="7"/>
  <c r="U22" i="7"/>
  <c r="P6" i="12"/>
  <c r="P4" i="12"/>
  <c r="P2" i="12"/>
  <c r="J7" i="7" l="1"/>
  <c r="P42" i="7"/>
  <c r="O41" i="7"/>
  <c r="O42" i="7" s="1"/>
  <c r="N41" i="7"/>
  <c r="N42" i="7" s="1"/>
  <c r="M41" i="7"/>
  <c r="M42" i="7" s="1"/>
  <c r="L41" i="7"/>
  <c r="L42" i="7" s="1"/>
  <c r="K41" i="7"/>
  <c r="K42" i="7" s="1"/>
  <c r="J41" i="7"/>
  <c r="J42" i="7" s="1"/>
  <c r="I41" i="7"/>
  <c r="I42" i="7" s="1"/>
  <c r="H41" i="7"/>
  <c r="H42" i="7" s="1"/>
  <c r="G41" i="7"/>
  <c r="G42" i="7" s="1"/>
  <c r="F41" i="7"/>
  <c r="F42" i="7" s="1"/>
  <c r="E41" i="7"/>
  <c r="E42" i="7" s="1"/>
  <c r="D41" i="7"/>
  <c r="D42" i="7" s="1"/>
  <c r="C41" i="7"/>
  <c r="C42" i="7" s="1"/>
  <c r="B41" i="7"/>
  <c r="B42" i="7" s="1"/>
  <c r="P37" i="7"/>
  <c r="O36" i="7"/>
  <c r="O37" i="7" s="1"/>
  <c r="N36" i="7"/>
  <c r="N37" i="7" s="1"/>
  <c r="M36" i="7"/>
  <c r="M37" i="7" s="1"/>
  <c r="L36" i="7"/>
  <c r="L37" i="7" s="1"/>
  <c r="K36" i="7"/>
  <c r="K37" i="7" s="1"/>
  <c r="J36" i="7"/>
  <c r="J37" i="7" s="1"/>
  <c r="I36" i="7"/>
  <c r="I37" i="7" s="1"/>
  <c r="H36" i="7"/>
  <c r="H37" i="7" s="1"/>
  <c r="G36" i="7"/>
  <c r="G37" i="7" s="1"/>
  <c r="F36" i="7"/>
  <c r="F37" i="7" s="1"/>
  <c r="E36" i="7"/>
  <c r="E37" i="7" s="1"/>
  <c r="D36" i="7"/>
  <c r="D37" i="7" s="1"/>
  <c r="C36" i="7"/>
  <c r="C37" i="7" s="1"/>
  <c r="B36" i="7"/>
  <c r="B37" i="7" s="1"/>
  <c r="B31" i="7"/>
  <c r="B32" i="7" s="1"/>
  <c r="C31" i="7"/>
  <c r="C32" i="7" s="1"/>
  <c r="D31" i="7"/>
  <c r="D32" i="7" s="1"/>
  <c r="E31" i="7"/>
  <c r="E32" i="7" s="1"/>
  <c r="F31" i="7"/>
  <c r="F32" i="7" s="1"/>
  <c r="G31" i="7"/>
  <c r="G32" i="7" s="1"/>
  <c r="H31" i="7"/>
  <c r="H32" i="7" s="1"/>
  <c r="I31" i="7"/>
  <c r="I32" i="7" s="1"/>
  <c r="J31" i="7"/>
  <c r="J32" i="7" s="1"/>
  <c r="K31" i="7"/>
  <c r="K32" i="7" s="1"/>
  <c r="L31" i="7"/>
  <c r="L32" i="7" s="1"/>
  <c r="M31" i="7"/>
  <c r="M32" i="7" s="1"/>
  <c r="N31" i="7"/>
  <c r="N32" i="7" s="1"/>
  <c r="O31" i="7"/>
  <c r="O32" i="7" s="1"/>
  <c r="P32" i="7"/>
  <c r="G8" i="12"/>
  <c r="D8" i="7" s="1"/>
  <c r="D16" i="7" s="1"/>
  <c r="K2" i="12"/>
  <c r="D8" i="6" l="1"/>
  <c r="T8" i="6"/>
  <c r="T7" i="6" s="1"/>
  <c r="E8" i="6"/>
  <c r="U8" i="6"/>
  <c r="U7" i="6" s="1"/>
  <c r="F8" i="6"/>
  <c r="V8" i="6"/>
  <c r="V7" i="6" s="1"/>
  <c r="R8" i="6"/>
  <c r="R7" i="6" s="1"/>
  <c r="G8" i="6"/>
  <c r="C8" i="6"/>
  <c r="N8" i="6"/>
  <c r="Q8" i="6"/>
  <c r="H8" i="6"/>
  <c r="I8" i="6"/>
  <c r="J8" i="6"/>
  <c r="K8" i="6"/>
  <c r="O8" i="6"/>
  <c r="L8" i="6"/>
  <c r="M8" i="6"/>
  <c r="P8" i="6"/>
  <c r="S8" i="6"/>
  <c r="S7" i="6" s="1"/>
  <c r="D6" i="7"/>
  <c r="G5" i="12"/>
  <c r="H72" i="7" l="1"/>
  <c r="E72" i="7"/>
  <c r="F72" i="7"/>
  <c r="I72" i="7"/>
  <c r="K72" i="7"/>
  <c r="R72" i="7"/>
  <c r="C72" i="7"/>
  <c r="S72" i="7"/>
  <c r="U72" i="7"/>
  <c r="J72" i="7"/>
  <c r="O72" i="7"/>
  <c r="B72" i="7"/>
  <c r="L72" i="7"/>
  <c r="G72" i="7"/>
  <c r="M72" i="7"/>
  <c r="N72" i="7"/>
  <c r="P72" i="7"/>
  <c r="Q72" i="7"/>
  <c r="D72" i="7"/>
  <c r="T72" i="7"/>
  <c r="D5" i="7"/>
  <c r="L68" i="7"/>
  <c r="M68" i="7"/>
  <c r="E64" i="7"/>
  <c r="U64" i="7"/>
  <c r="M60" i="7"/>
  <c r="U56" i="7"/>
  <c r="N68" i="7"/>
  <c r="F64" i="7"/>
  <c r="B64" i="7"/>
  <c r="N60" i="7"/>
  <c r="O60" i="7"/>
  <c r="P68" i="7"/>
  <c r="H64" i="7"/>
  <c r="P60" i="7"/>
  <c r="Q68" i="7"/>
  <c r="Q51" i="7"/>
  <c r="R68" i="7"/>
  <c r="J64" i="7"/>
  <c r="R51" i="7"/>
  <c r="E60" i="7"/>
  <c r="H68" i="7"/>
  <c r="J60" i="7"/>
  <c r="O68" i="7"/>
  <c r="G64" i="7"/>
  <c r="I64" i="7"/>
  <c r="Q60" i="7"/>
  <c r="R60" i="7"/>
  <c r="F60" i="7"/>
  <c r="G68" i="7"/>
  <c r="H60" i="7"/>
  <c r="J68" i="7"/>
  <c r="R64" i="7"/>
  <c r="C68" i="7"/>
  <c r="S68" i="7"/>
  <c r="K64" i="7"/>
  <c r="C60" i="7"/>
  <c r="S60" i="7"/>
  <c r="S51" i="7"/>
  <c r="U60" i="7"/>
  <c r="F68" i="7"/>
  <c r="N64" i="7"/>
  <c r="B60" i="7"/>
  <c r="O64" i="7"/>
  <c r="P64" i="7"/>
  <c r="I68" i="7"/>
  <c r="I60" i="7"/>
  <c r="R56" i="7"/>
  <c r="D68" i="7"/>
  <c r="T68" i="7"/>
  <c r="L64" i="7"/>
  <c r="D60" i="7"/>
  <c r="T60" i="7"/>
  <c r="T51" i="7"/>
  <c r="E68" i="7"/>
  <c r="U68" i="7"/>
  <c r="M64" i="7"/>
  <c r="U51" i="7"/>
  <c r="B68" i="7"/>
  <c r="G60" i="7"/>
  <c r="Q64" i="7"/>
  <c r="Q56" i="7"/>
  <c r="S56" i="7"/>
  <c r="K68" i="7"/>
  <c r="T56" i="7"/>
  <c r="S64" i="7"/>
  <c r="K60" i="7"/>
  <c r="L60" i="7"/>
  <c r="T64" i="7"/>
  <c r="C64" i="7"/>
  <c r="D64" i="7"/>
  <c r="D2" i="12"/>
  <c r="D6" i="2" s="1"/>
  <c r="E5" i="4"/>
  <c r="E4" i="4"/>
  <c r="C14" i="6"/>
  <c r="C9" i="5"/>
  <c r="Q77" i="7" l="1"/>
  <c r="U77" i="7"/>
  <c r="S77" i="7"/>
  <c r="R77" i="7"/>
  <c r="T77" i="7"/>
  <c r="P59" i="7"/>
  <c r="K71" i="7"/>
  <c r="C71" i="7"/>
  <c r="B71" i="7"/>
  <c r="L71" i="7"/>
  <c r="T71" i="7"/>
  <c r="E71" i="7"/>
  <c r="F71" i="7"/>
  <c r="M71" i="7"/>
  <c r="N71" i="7"/>
  <c r="S71" i="7"/>
  <c r="S76" i="7" s="1"/>
  <c r="H71" i="7"/>
  <c r="O71" i="7"/>
  <c r="Q71" i="7"/>
  <c r="P71" i="7"/>
  <c r="R71" i="7"/>
  <c r="D71" i="7"/>
  <c r="U71" i="7"/>
  <c r="I71" i="7"/>
  <c r="J71" i="7"/>
  <c r="G71" i="7"/>
  <c r="G63" i="7"/>
  <c r="Q55" i="7"/>
  <c r="H67" i="7"/>
  <c r="N63" i="7"/>
  <c r="F67" i="7"/>
  <c r="C59" i="7"/>
  <c r="U55" i="7"/>
  <c r="B63" i="7"/>
  <c r="J63" i="7"/>
  <c r="R67" i="7"/>
  <c r="K63" i="7"/>
  <c r="S67" i="7"/>
  <c r="H63" i="7"/>
  <c r="P67" i="7"/>
  <c r="O67" i="7"/>
  <c r="R50" i="7"/>
  <c r="F63" i="7"/>
  <c r="L59" i="7"/>
  <c r="S55" i="7"/>
  <c r="H59" i="7"/>
  <c r="M67" i="7"/>
  <c r="T67" i="7"/>
  <c r="L67" i="7"/>
  <c r="U50" i="7"/>
  <c r="I59" i="7"/>
  <c r="D67" i="7"/>
  <c r="I63" i="7"/>
  <c r="C67" i="7"/>
  <c r="U67" i="7"/>
  <c r="G59" i="7"/>
  <c r="T59" i="7"/>
  <c r="J59" i="7"/>
  <c r="Q50" i="7"/>
  <c r="U63" i="7"/>
  <c r="B59" i="7"/>
  <c r="E63" i="7"/>
  <c r="B67" i="7"/>
  <c r="Q59" i="7"/>
  <c r="S63" i="7"/>
  <c r="E59" i="7"/>
  <c r="Q63" i="7"/>
  <c r="S50" i="7"/>
  <c r="Q67" i="7"/>
  <c r="T55" i="7"/>
  <c r="T63" i="7"/>
  <c r="N59" i="7"/>
  <c r="D63" i="7"/>
  <c r="D7" i="7"/>
  <c r="O63" i="7"/>
  <c r="R59" i="7"/>
  <c r="K59" i="7"/>
  <c r="L63" i="7"/>
  <c r="K67" i="7"/>
  <c r="M63" i="7"/>
  <c r="I67" i="7"/>
  <c r="U59" i="7"/>
  <c r="N67" i="7"/>
  <c r="C63" i="7"/>
  <c r="G67" i="7"/>
  <c r="D59" i="7"/>
  <c r="M59" i="7"/>
  <c r="R63" i="7"/>
  <c r="R55" i="7"/>
  <c r="E67" i="7"/>
  <c r="O59" i="7"/>
  <c r="J67" i="7"/>
  <c r="F59" i="7"/>
  <c r="T50" i="7"/>
  <c r="P63" i="7"/>
  <c r="S59" i="7"/>
  <c r="R3" i="6"/>
  <c r="U3" i="6"/>
  <c r="S3" i="6"/>
  <c r="T3" i="6"/>
  <c r="V3" i="6"/>
  <c r="C24" i="5"/>
  <c r="C25" i="5"/>
  <c r="C15" i="6"/>
  <c r="C3" i="4"/>
  <c r="C21" i="4" s="1"/>
  <c r="C6" i="5"/>
  <c r="C7" i="5"/>
  <c r="C8" i="5"/>
  <c r="Q76" i="7" l="1"/>
  <c r="T76" i="7"/>
  <c r="U76" i="7"/>
  <c r="R76" i="7"/>
  <c r="R5" i="6"/>
  <c r="R4" i="6" s="1"/>
  <c r="S5" i="6"/>
  <c r="S4" i="6" s="1"/>
  <c r="T5" i="6"/>
  <c r="T4" i="6" s="1"/>
  <c r="U5" i="6"/>
  <c r="U4" i="6" s="1"/>
  <c r="V5" i="6"/>
  <c r="V4" i="6" s="1"/>
  <c r="C23" i="5"/>
  <c r="C21" i="5"/>
  <c r="E47" i="5"/>
  <c r="D26" i="6"/>
  <c r="E26" i="6"/>
  <c r="F26" i="6"/>
  <c r="G26" i="6"/>
  <c r="H26" i="6"/>
  <c r="I26" i="6"/>
  <c r="J26" i="6"/>
  <c r="K26" i="6"/>
  <c r="L26" i="6"/>
  <c r="C26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C21" i="6"/>
  <c r="D9" i="6" l="1"/>
  <c r="E9" i="6"/>
  <c r="F9" i="6"/>
  <c r="G9" i="6"/>
  <c r="H9" i="6"/>
  <c r="I9" i="6"/>
  <c r="J9" i="6"/>
  <c r="K9" i="6"/>
  <c r="L9" i="6"/>
  <c r="M9" i="6"/>
  <c r="N9" i="6"/>
  <c r="O9" i="6"/>
  <c r="P9" i="6"/>
  <c r="Q9" i="6"/>
  <c r="C9" i="6"/>
  <c r="E4" i="5" l="1"/>
  <c r="E3" i="5"/>
  <c r="E46" i="5"/>
  <c r="E29" i="5"/>
  <c r="E30" i="5" s="1"/>
  <c r="F30" i="5" s="1"/>
  <c r="E27" i="5"/>
  <c r="C20" i="5"/>
  <c r="C42" i="5"/>
  <c r="F42" i="5" s="1"/>
  <c r="F39" i="5"/>
  <c r="F40" i="5"/>
  <c r="F41" i="5"/>
  <c r="F43" i="5"/>
  <c r="F38" i="5"/>
  <c r="F8" i="5"/>
  <c r="F12" i="5"/>
  <c r="F33" i="5"/>
  <c r="F35" i="5"/>
  <c r="F32" i="5"/>
  <c r="C34" i="5"/>
  <c r="F34" i="5" s="1"/>
  <c r="F48" i="5"/>
  <c r="F22" i="4"/>
  <c r="F19" i="4"/>
  <c r="F20" i="4"/>
  <c r="F18" i="4"/>
  <c r="F23" i="4"/>
  <c r="F21" i="4"/>
  <c r="F17" i="4" s="1"/>
  <c r="D7" i="6"/>
  <c r="G7" i="6"/>
  <c r="I7" i="6"/>
  <c r="M7" i="6"/>
  <c r="N7" i="6"/>
  <c r="O7" i="6"/>
  <c r="P7" i="6"/>
  <c r="Q7" i="6"/>
  <c r="C7" i="6" l="1"/>
  <c r="F37" i="5"/>
  <c r="C36" i="5"/>
  <c r="F36" i="5" s="1"/>
  <c r="F31" i="5" s="1"/>
  <c r="H7" i="6"/>
  <c r="F7" i="6"/>
  <c r="E7" i="6"/>
  <c r="L7" i="6"/>
  <c r="K7" i="6"/>
  <c r="J7" i="6"/>
  <c r="F4" i="5"/>
  <c r="F3" i="5"/>
  <c r="F47" i="5"/>
  <c r="F46" i="5"/>
  <c r="F45" i="5"/>
  <c r="F27" i="5"/>
  <c r="F29" i="5"/>
  <c r="E25" i="5"/>
  <c r="E24" i="5"/>
  <c r="C22" i="5"/>
  <c r="F22" i="5" s="1"/>
  <c r="F21" i="5"/>
  <c r="C26" i="5"/>
  <c r="F26" i="5" s="1"/>
  <c r="F16" i="5"/>
  <c r="F17" i="5"/>
  <c r="F18" i="5"/>
  <c r="F15" i="5"/>
  <c r="F11" i="5"/>
  <c r="F13" i="5"/>
  <c r="F9" i="5"/>
  <c r="F7" i="5"/>
  <c r="F6" i="5"/>
  <c r="F12" i="4"/>
  <c r="F13" i="4"/>
  <c r="F14" i="4"/>
  <c r="F15" i="4"/>
  <c r="F16" i="4"/>
  <c r="F11" i="4"/>
  <c r="F5" i="4"/>
  <c r="F6" i="4"/>
  <c r="F7" i="4"/>
  <c r="F8" i="4"/>
  <c r="F9" i="4"/>
  <c r="F4" i="4"/>
  <c r="D18" i="2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C6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C5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C3" i="6"/>
  <c r="F44" i="5" l="1"/>
  <c r="M4" i="6"/>
  <c r="K4" i="6"/>
  <c r="C28" i="5"/>
  <c r="F28" i="5" s="1"/>
  <c r="F25" i="5"/>
  <c r="F23" i="5"/>
  <c r="F14" i="5"/>
  <c r="F20" i="5"/>
  <c r="F24" i="5"/>
  <c r="C10" i="5"/>
  <c r="F10" i="5" s="1"/>
  <c r="F5" i="5" s="1"/>
  <c r="J4" i="6"/>
  <c r="G4" i="6"/>
  <c r="C4" i="6"/>
  <c r="O4" i="6"/>
  <c r="E10" i="4"/>
  <c r="F10" i="4" s="1"/>
  <c r="E3" i="4"/>
  <c r="F3" i="4" s="1"/>
  <c r="Q4" i="6"/>
  <c r="N4" i="6"/>
  <c r="D4" i="6"/>
  <c r="H4" i="6"/>
  <c r="E4" i="6"/>
  <c r="P4" i="6"/>
  <c r="L4" i="6"/>
  <c r="I4" i="6"/>
  <c r="F4" i="6"/>
  <c r="J10" i="7"/>
  <c r="N26" i="7"/>
  <c r="N27" i="7" s="1"/>
  <c r="L26" i="7"/>
  <c r="L27" i="7" s="1"/>
  <c r="J26" i="7"/>
  <c r="I26" i="7"/>
  <c r="H26" i="7"/>
  <c r="G26" i="7"/>
  <c r="G27" i="7" s="1"/>
  <c r="B26" i="7"/>
  <c r="B27" i="7" s="1"/>
  <c r="P27" i="7"/>
  <c r="O26" i="7"/>
  <c r="E26" i="7"/>
  <c r="E27" i="7" s="1"/>
  <c r="D26" i="7"/>
  <c r="D27" i="7" s="1"/>
  <c r="C26" i="7"/>
  <c r="C27" i="7" s="1"/>
  <c r="P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B22" i="7"/>
  <c r="L56" i="7" l="1"/>
  <c r="L55" i="7"/>
  <c r="C56" i="7"/>
  <c r="C55" i="7"/>
  <c r="N56" i="7"/>
  <c r="N55" i="7"/>
  <c r="E56" i="7"/>
  <c r="E55" i="7"/>
  <c r="G56" i="7"/>
  <c r="G55" i="7"/>
  <c r="D56" i="7"/>
  <c r="D55" i="7"/>
  <c r="B56" i="7"/>
  <c r="B55" i="7"/>
  <c r="P51" i="7"/>
  <c r="P77" i="7" s="1"/>
  <c r="P50" i="7"/>
  <c r="P76" i="7" s="1"/>
  <c r="O51" i="7"/>
  <c r="O50" i="7"/>
  <c r="N51" i="7"/>
  <c r="N77" i="7" s="1"/>
  <c r="N50" i="7"/>
  <c r="N76" i="7" s="1"/>
  <c r="M51" i="7"/>
  <c r="M50" i="7"/>
  <c r="L51" i="7"/>
  <c r="L77" i="7" s="1"/>
  <c r="L50" i="7"/>
  <c r="L76" i="7" s="1"/>
  <c r="K51" i="7"/>
  <c r="K50" i="7"/>
  <c r="J51" i="7"/>
  <c r="J50" i="7"/>
  <c r="I51" i="7"/>
  <c r="I50" i="7"/>
  <c r="H51" i="7"/>
  <c r="H50" i="7"/>
  <c r="G51" i="7"/>
  <c r="G50" i="7"/>
  <c r="F51" i="7"/>
  <c r="F50" i="7"/>
  <c r="E51" i="7"/>
  <c r="E77" i="7" s="1"/>
  <c r="E50" i="7"/>
  <c r="E76" i="7" s="1"/>
  <c r="D51" i="7"/>
  <c r="D50" i="7"/>
  <c r="C51" i="7"/>
  <c r="C77" i="7" s="1"/>
  <c r="C50" i="7"/>
  <c r="C76" i="7" s="1"/>
  <c r="B51" i="7"/>
  <c r="B77" i="7" s="1"/>
  <c r="B50" i="7"/>
  <c r="B76" i="7" s="1"/>
  <c r="P56" i="7"/>
  <c r="P55" i="7"/>
  <c r="R3" i="13"/>
  <c r="R6" i="13" s="1"/>
  <c r="T9" i="13"/>
  <c r="T10" i="13" s="1"/>
  <c r="D1" i="4"/>
  <c r="F19" i="5"/>
  <c r="D1" i="5" s="1"/>
  <c r="J6" i="5" s="1"/>
  <c r="M26" i="7"/>
  <c r="M27" i="7" s="1"/>
  <c r="H27" i="7"/>
  <c r="F26" i="7"/>
  <c r="F27" i="7" s="1"/>
  <c r="I27" i="7"/>
  <c r="K26" i="7"/>
  <c r="K27" i="7" s="1"/>
  <c r="J27" i="7"/>
  <c r="O27" i="7"/>
  <c r="D76" i="7" l="1"/>
  <c r="E9" i="13" s="1"/>
  <c r="E10" i="13" s="1"/>
  <c r="G76" i="7"/>
  <c r="H9" i="13" s="1"/>
  <c r="H10" i="13" s="1"/>
  <c r="D77" i="7"/>
  <c r="E3" i="13" s="1"/>
  <c r="E6" i="13" s="1"/>
  <c r="G77" i="7"/>
  <c r="H3" i="13" s="1"/>
  <c r="H6" i="13" s="1"/>
  <c r="C3" i="13"/>
  <c r="C6" i="13" s="1"/>
  <c r="F3" i="13"/>
  <c r="F6" i="13" s="1"/>
  <c r="M9" i="13"/>
  <c r="M10" i="13" s="1"/>
  <c r="O56" i="7"/>
  <c r="O55" i="7"/>
  <c r="O76" i="7" s="1"/>
  <c r="J56" i="7"/>
  <c r="J77" i="7" s="1"/>
  <c r="J55" i="7"/>
  <c r="F56" i="7"/>
  <c r="F77" i="7" s="1"/>
  <c r="F55" i="7"/>
  <c r="F76" i="7" s="1"/>
  <c r="H56" i="7"/>
  <c r="H77" i="7" s="1"/>
  <c r="H55" i="7"/>
  <c r="H76" i="7" s="1"/>
  <c r="K56" i="7"/>
  <c r="K77" i="7" s="1"/>
  <c r="K55" i="7"/>
  <c r="K76" i="7" s="1"/>
  <c r="I56" i="7"/>
  <c r="I77" i="7" s="1"/>
  <c r="I55" i="7"/>
  <c r="I76" i="7" s="1"/>
  <c r="M56" i="7"/>
  <c r="M77" i="7" s="1"/>
  <c r="M55" i="7"/>
  <c r="M76" i="7" s="1"/>
  <c r="C18" i="6"/>
  <c r="N10" i="6" s="1"/>
  <c r="N11" i="6" s="1"/>
  <c r="N12" i="13" s="1"/>
  <c r="H4" i="4"/>
  <c r="Q3" i="13"/>
  <c r="Q6" i="13" s="1"/>
  <c r="R9" i="13"/>
  <c r="R10" i="13" s="1"/>
  <c r="R16" i="13" s="1"/>
  <c r="U3" i="13"/>
  <c r="U6" i="13" s="1"/>
  <c r="S9" i="13"/>
  <c r="S10" i="13" s="1"/>
  <c r="V9" i="13"/>
  <c r="V10" i="13" s="1"/>
  <c r="Q9" i="13"/>
  <c r="Q10" i="13" s="1"/>
  <c r="V3" i="13"/>
  <c r="V6" i="13" s="1"/>
  <c r="U9" i="13"/>
  <c r="U10" i="13" s="1"/>
  <c r="O9" i="13"/>
  <c r="O10" i="13" s="1"/>
  <c r="T3" i="13"/>
  <c r="T6" i="13" s="1"/>
  <c r="T16" i="13" s="1"/>
  <c r="S3" i="13"/>
  <c r="S6" i="13" s="1"/>
  <c r="D9" i="13"/>
  <c r="D10" i="13" s="1"/>
  <c r="O3" i="13"/>
  <c r="O6" i="13" s="1"/>
  <c r="C9" i="13"/>
  <c r="C10" i="13" s="1"/>
  <c r="F9" i="13"/>
  <c r="F10" i="13" s="1"/>
  <c r="M3" i="13"/>
  <c r="M6" i="13" s="1"/>
  <c r="M16" i="13" s="1"/>
  <c r="D3" i="13"/>
  <c r="D6" i="13" s="1"/>
  <c r="E6" i="2"/>
  <c r="C29" i="2" s="1"/>
  <c r="C30" i="2" s="1"/>
  <c r="F6" i="2"/>
  <c r="F18" i="2" s="1"/>
  <c r="J7" i="5"/>
  <c r="H16" i="13" l="1"/>
  <c r="V16" i="13"/>
  <c r="V17" i="13" s="1"/>
  <c r="V19" i="13" s="1"/>
  <c r="V20" i="13" s="1"/>
  <c r="D16" i="13"/>
  <c r="E16" i="13"/>
  <c r="E17" i="13" s="1"/>
  <c r="Q16" i="13"/>
  <c r="U16" i="13"/>
  <c r="S16" i="13"/>
  <c r="O16" i="13"/>
  <c r="F16" i="13"/>
  <c r="C16" i="13"/>
  <c r="P9" i="13"/>
  <c r="P10" i="13" s="1"/>
  <c r="G3" i="13"/>
  <c r="G6" i="13" s="1"/>
  <c r="K3" i="13"/>
  <c r="K6" i="13" s="1"/>
  <c r="J76" i="7"/>
  <c r="K9" i="13" s="1"/>
  <c r="K10" i="13" s="1"/>
  <c r="G9" i="13"/>
  <c r="G10" i="13" s="1"/>
  <c r="O77" i="7"/>
  <c r="P3" i="13" s="1"/>
  <c r="P6" i="13" s="1"/>
  <c r="E27" i="2"/>
  <c r="E28" i="2" s="1"/>
  <c r="W3" i="2"/>
  <c r="L9" i="13"/>
  <c r="L10" i="13" s="1"/>
  <c r="N9" i="13"/>
  <c r="N10" i="13" s="1"/>
  <c r="N3" i="13"/>
  <c r="N6" i="13" s="1"/>
  <c r="I3" i="13"/>
  <c r="I6" i="13" s="1"/>
  <c r="L3" i="13"/>
  <c r="L6" i="13" s="1"/>
  <c r="J9" i="13"/>
  <c r="J10" i="13" s="1"/>
  <c r="J3" i="13"/>
  <c r="J6" i="13" s="1"/>
  <c r="M17" i="13"/>
  <c r="M19" i="13" s="1"/>
  <c r="M20" i="13" s="1"/>
  <c r="C10" i="6"/>
  <c r="C11" i="6" s="1"/>
  <c r="C12" i="13" s="1"/>
  <c r="I10" i="6"/>
  <c r="I11" i="6" s="1"/>
  <c r="I12" i="13" s="1"/>
  <c r="L10" i="6"/>
  <c r="L11" i="6" s="1"/>
  <c r="L12" i="13" s="1"/>
  <c r="F10" i="6"/>
  <c r="F11" i="6" s="1"/>
  <c r="F12" i="13" s="1"/>
  <c r="J10" i="6"/>
  <c r="J11" i="6" s="1"/>
  <c r="J12" i="13" s="1"/>
  <c r="H10" i="6"/>
  <c r="H11" i="6" s="1"/>
  <c r="H12" i="13" s="1"/>
  <c r="E10" i="6"/>
  <c r="E11" i="6" s="1"/>
  <c r="E12" i="13" s="1"/>
  <c r="K10" i="6"/>
  <c r="K11" i="6" s="1"/>
  <c r="K12" i="13" s="1"/>
  <c r="G10" i="6"/>
  <c r="G11" i="6" s="1"/>
  <c r="G12" i="13" s="1"/>
  <c r="D10" i="6"/>
  <c r="D11" i="6" s="1"/>
  <c r="D12" i="13" s="1"/>
  <c r="R17" i="13"/>
  <c r="R19" i="13" s="1"/>
  <c r="R20" i="13" s="1"/>
  <c r="AB2" i="13"/>
  <c r="B24" i="13"/>
  <c r="AA2" i="13"/>
  <c r="P10" i="6"/>
  <c r="P11" i="6" s="1"/>
  <c r="P12" i="13" s="1"/>
  <c r="T17" i="13"/>
  <c r="T19" i="13" s="1"/>
  <c r="T20" i="13" s="1"/>
  <c r="M10" i="6"/>
  <c r="M11" i="6" s="1"/>
  <c r="M12" i="13" s="1"/>
  <c r="E18" i="2"/>
  <c r="K18" i="2" s="1"/>
  <c r="R3" i="2"/>
  <c r="Q10" i="6"/>
  <c r="Q11" i="6" s="1"/>
  <c r="Q12" i="13" s="1"/>
  <c r="O10" i="6"/>
  <c r="O11" i="6" s="1"/>
  <c r="O12" i="13" s="1"/>
  <c r="R10" i="6"/>
  <c r="R11" i="6" s="1"/>
  <c r="R12" i="13" s="1"/>
  <c r="S10" i="6"/>
  <c r="S11" i="6" s="1"/>
  <c r="S12" i="13" s="1"/>
  <c r="U10" i="6"/>
  <c r="U11" i="6" s="1"/>
  <c r="U12" i="13" s="1"/>
  <c r="T10" i="6"/>
  <c r="T11" i="6" s="1"/>
  <c r="T12" i="13" s="1"/>
  <c r="V10" i="6"/>
  <c r="V11" i="6" s="1"/>
  <c r="V12" i="13" s="1"/>
  <c r="N16" i="13" l="1"/>
  <c r="N17" i="13" s="1"/>
  <c r="N19" i="13" s="1"/>
  <c r="N20" i="13" s="1"/>
  <c r="P16" i="13"/>
  <c r="P17" i="13" s="1"/>
  <c r="P19" i="13" s="1"/>
  <c r="P20" i="13" s="1"/>
  <c r="L16" i="13"/>
  <c r="L17" i="13" s="1"/>
  <c r="L19" i="13" s="1"/>
  <c r="L20" i="13" s="1"/>
  <c r="K16" i="13"/>
  <c r="J16" i="13"/>
  <c r="G16" i="13"/>
  <c r="G17" i="13" s="1"/>
  <c r="G19" i="13" s="1"/>
  <c r="G20" i="13" s="1"/>
  <c r="V76" i="7"/>
  <c r="B1" i="7" s="1"/>
  <c r="F1" i="7" s="1"/>
  <c r="K6" i="2" s="1"/>
  <c r="J17" i="13"/>
  <c r="J19" i="13" s="1"/>
  <c r="J20" i="13" s="1"/>
  <c r="V77" i="7"/>
  <c r="B2" i="7" s="1"/>
  <c r="F2" i="7" s="1"/>
  <c r="I9" i="13"/>
  <c r="I10" i="13" s="1"/>
  <c r="H17" i="13"/>
  <c r="H19" i="13" s="1"/>
  <c r="H20" i="13" s="1"/>
  <c r="U17" i="13"/>
  <c r="U19" i="13" s="1"/>
  <c r="U20" i="13" s="1"/>
  <c r="L11" i="13"/>
  <c r="H11" i="13"/>
  <c r="U11" i="13"/>
  <c r="K11" i="13"/>
  <c r="G11" i="13"/>
  <c r="T11" i="13"/>
  <c r="T21" i="13" s="1"/>
  <c r="T22" i="13" s="1"/>
  <c r="T23" i="13" s="1"/>
  <c r="S11" i="13"/>
  <c r="J11" i="13"/>
  <c r="R11" i="13"/>
  <c r="R21" i="13" s="1"/>
  <c r="R22" i="13" s="1"/>
  <c r="R23" i="13" s="1"/>
  <c r="I11" i="13"/>
  <c r="M11" i="13"/>
  <c r="M21" i="13" s="1"/>
  <c r="M22" i="13" s="1"/>
  <c r="F11" i="13"/>
  <c r="O11" i="13"/>
  <c r="N11" i="13"/>
  <c r="C11" i="13"/>
  <c r="D11" i="13"/>
  <c r="Q11" i="13"/>
  <c r="V11" i="13"/>
  <c r="V21" i="13" s="1"/>
  <c r="V22" i="13" s="1"/>
  <c r="E11" i="13"/>
  <c r="P11" i="13"/>
  <c r="D17" i="13"/>
  <c r="S17" i="13"/>
  <c r="S19" i="13" s="1"/>
  <c r="S20" i="13" s="1"/>
  <c r="B26" i="13"/>
  <c r="Q17" i="13"/>
  <c r="Q19" i="13" s="1"/>
  <c r="Q20" i="13" s="1"/>
  <c r="K17" i="13"/>
  <c r="K19" i="13" s="1"/>
  <c r="K20" i="13" s="1"/>
  <c r="F17" i="13"/>
  <c r="O17" i="13"/>
  <c r="O19" i="13" s="1"/>
  <c r="O20" i="13" s="1"/>
  <c r="C17" i="13"/>
  <c r="E1" i="6"/>
  <c r="H6" i="2" s="1"/>
  <c r="R4" i="2" l="1"/>
  <c r="E31" i="2"/>
  <c r="R5" i="2"/>
  <c r="E33" i="2"/>
  <c r="P21" i="13"/>
  <c r="P22" i="13" s="1"/>
  <c r="P23" i="13" s="1"/>
  <c r="L21" i="13"/>
  <c r="L22" i="13" s="1"/>
  <c r="L23" i="13" s="1"/>
  <c r="I16" i="13"/>
  <c r="I17" i="13" s="1"/>
  <c r="I19" i="13" s="1"/>
  <c r="I20" i="13" s="1"/>
  <c r="I21" i="13" s="1"/>
  <c r="I22" i="13" s="1"/>
  <c r="I23" i="13" s="1"/>
  <c r="G21" i="13"/>
  <c r="G22" i="13" s="1"/>
  <c r="G23" i="13" s="1"/>
  <c r="D12" i="2"/>
  <c r="N21" i="13"/>
  <c r="N22" i="13" s="1"/>
  <c r="N23" i="13" s="1"/>
  <c r="L1" i="7"/>
  <c r="U3" i="2"/>
  <c r="F19" i="13"/>
  <c r="F20" i="13" s="1"/>
  <c r="F21" i="13" s="1"/>
  <c r="F22" i="13" s="1"/>
  <c r="F23" i="13" s="1"/>
  <c r="E18" i="13"/>
  <c r="E19" i="13" s="1"/>
  <c r="E20" i="13" s="1"/>
  <c r="E21" i="13" s="1"/>
  <c r="E22" i="13" s="1"/>
  <c r="E23" i="13" s="1"/>
  <c r="C18" i="13"/>
  <c r="C19" i="13" s="1"/>
  <c r="C20" i="13" s="1"/>
  <c r="C21" i="13" s="1"/>
  <c r="C22" i="13" s="1"/>
  <c r="C23" i="13" s="1"/>
  <c r="M23" i="13"/>
  <c r="M24" i="13"/>
  <c r="O21" i="13"/>
  <c r="O22" i="13" s="1"/>
  <c r="O23" i="13" s="1"/>
  <c r="V23" i="13"/>
  <c r="V24" i="13"/>
  <c r="U21" i="13"/>
  <c r="U22" i="13" s="1"/>
  <c r="U23" i="13" s="1"/>
  <c r="H21" i="13"/>
  <c r="H22" i="13" s="1"/>
  <c r="H23" i="13" s="1"/>
  <c r="S21" i="13"/>
  <c r="S22" i="13" s="1"/>
  <c r="S23" i="13" s="1"/>
  <c r="R24" i="13"/>
  <c r="D18" i="13"/>
  <c r="D19" i="13" s="1"/>
  <c r="D20" i="13" s="1"/>
  <c r="K21" i="13"/>
  <c r="K22" i="13" s="1"/>
  <c r="K23" i="13" s="1"/>
  <c r="T24" i="13"/>
  <c r="L24" i="13"/>
  <c r="J21" i="13"/>
  <c r="J22" i="13" s="1"/>
  <c r="J23" i="13" s="1"/>
  <c r="Q21" i="13"/>
  <c r="Q22" i="13" s="1"/>
  <c r="Q23" i="13" s="1"/>
  <c r="H18" i="2"/>
  <c r="U6" i="2" l="1"/>
  <c r="E34" i="2"/>
  <c r="N24" i="13"/>
  <c r="P24" i="13"/>
  <c r="G24" i="13"/>
  <c r="D24" i="2"/>
  <c r="N14" i="2" s="1"/>
  <c r="R6" i="2"/>
  <c r="N2" i="2"/>
  <c r="I24" i="13"/>
  <c r="Q24" i="13"/>
  <c r="E24" i="13"/>
  <c r="C24" i="13"/>
  <c r="C26" i="13" s="1"/>
  <c r="C27" i="13" s="1"/>
  <c r="C28" i="13" s="1"/>
  <c r="H24" i="13"/>
  <c r="K24" i="13"/>
  <c r="U24" i="13"/>
  <c r="F24" i="13"/>
  <c r="S24" i="13"/>
  <c r="O24" i="13"/>
  <c r="D21" i="13"/>
  <c r="D22" i="13" s="1"/>
  <c r="D23" i="13" s="1"/>
  <c r="B23" i="13" s="1"/>
  <c r="S3" i="2" s="1"/>
  <c r="J24" i="13"/>
  <c r="C25" i="13" l="1"/>
  <c r="D24" i="13"/>
  <c r="D26" i="13" l="1"/>
  <c r="S25" i="13"/>
  <c r="G25" i="13"/>
  <c r="B25" i="13"/>
  <c r="S6" i="2" s="1"/>
  <c r="E25" i="13"/>
  <c r="Q25" i="13"/>
  <c r="N25" i="13"/>
  <c r="J25" i="13"/>
  <c r="O25" i="13"/>
  <c r="R25" i="13"/>
  <c r="F25" i="13"/>
  <c r="M25" i="13"/>
  <c r="L25" i="13"/>
  <c r="V25" i="13"/>
  <c r="P25" i="13"/>
  <c r="U25" i="13"/>
  <c r="K25" i="13"/>
  <c r="D25" i="13"/>
  <c r="T25" i="13"/>
  <c r="H25" i="13"/>
  <c r="I25" i="13"/>
  <c r="D27" i="13" l="1"/>
  <c r="D28" i="13" s="1"/>
  <c r="E26" i="13"/>
  <c r="E27" i="13" l="1"/>
  <c r="E28" i="13" s="1"/>
  <c r="F26" i="13"/>
  <c r="F27" i="13" l="1"/>
  <c r="F28" i="13" s="1"/>
  <c r="G26" i="13"/>
  <c r="G27" i="13" l="1"/>
  <c r="G28" i="13" s="1"/>
  <c r="H26" i="13"/>
  <c r="H27" i="13" l="1"/>
  <c r="H28" i="13" s="1"/>
  <c r="I26" i="13"/>
  <c r="I27" i="13" l="1"/>
  <c r="I28" i="13" s="1"/>
  <c r="J26" i="13"/>
  <c r="K26" i="13" l="1"/>
  <c r="J27" i="13"/>
  <c r="J28" i="13" s="1"/>
  <c r="L26" i="13" l="1"/>
  <c r="K27" i="13"/>
  <c r="K28" i="13" s="1"/>
  <c r="M26" i="13" l="1"/>
  <c r="L27" i="13"/>
  <c r="L28" i="13" s="1"/>
  <c r="N26" i="13" l="1"/>
  <c r="M27" i="13"/>
  <c r="M28" i="13" s="1"/>
  <c r="O26" i="13" l="1"/>
  <c r="N27" i="13"/>
  <c r="N28" i="13" s="1"/>
  <c r="P26" i="13" l="1"/>
  <c r="O27" i="13"/>
  <c r="O28" i="13" s="1"/>
  <c r="Q26" i="13" l="1"/>
  <c r="P27" i="13"/>
  <c r="P28" i="13" s="1"/>
  <c r="R26" i="13" l="1"/>
  <c r="Q27" i="13"/>
  <c r="Q28" i="13" s="1"/>
  <c r="S26" i="13" l="1"/>
  <c r="R27" i="13"/>
  <c r="R28" i="13" s="1"/>
  <c r="T26" i="13" l="1"/>
  <c r="S27" i="13"/>
  <c r="S28" i="13" s="1"/>
  <c r="U26" i="13" l="1"/>
  <c r="T27" i="13"/>
  <c r="T28" i="13" s="1"/>
  <c r="V26" i="13" l="1"/>
  <c r="V27" i="13" s="1"/>
  <c r="V28" i="13" s="1"/>
  <c r="U27" i="13"/>
  <c r="U28" i="13" s="1"/>
  <c r="B28" i="13" l="1"/>
  <c r="S9" i="2" s="1"/>
</calcChain>
</file>

<file path=xl/sharedStrings.xml><?xml version="1.0" encoding="utf-8"?>
<sst xmlns="http://schemas.openxmlformats.org/spreadsheetml/2006/main" count="374" uniqueCount="294">
  <si>
    <t>序号</t>
    <phoneticPr fontId="1" type="noConversion"/>
  </si>
  <si>
    <t>BOM明细</t>
    <phoneticPr fontId="1" type="noConversion"/>
  </si>
  <si>
    <t>直流侧成本</t>
    <phoneticPr fontId="1" type="noConversion"/>
  </si>
  <si>
    <t>数量</t>
    <phoneticPr fontId="1" type="noConversion"/>
  </si>
  <si>
    <t>交流侧成本</t>
    <phoneticPr fontId="1" type="noConversion"/>
  </si>
  <si>
    <t>变流升压一体机</t>
    <phoneticPr fontId="1" type="noConversion"/>
  </si>
  <si>
    <t>升压变压器</t>
    <phoneticPr fontId="1" type="noConversion"/>
  </si>
  <si>
    <t>辅助变压器</t>
    <phoneticPr fontId="1" type="noConversion"/>
  </si>
  <si>
    <t>高压柜</t>
    <phoneticPr fontId="1" type="noConversion"/>
  </si>
  <si>
    <t>低压配电柜</t>
    <phoneticPr fontId="1" type="noConversion"/>
  </si>
  <si>
    <t>箱体及其他附件</t>
    <phoneticPr fontId="1" type="noConversion"/>
  </si>
  <si>
    <t>能量管理系统</t>
    <phoneticPr fontId="1" type="noConversion"/>
  </si>
  <si>
    <t>本地服务器</t>
    <phoneticPr fontId="1" type="noConversion"/>
  </si>
  <si>
    <t>电脑显示器</t>
    <phoneticPr fontId="1" type="noConversion"/>
  </si>
  <si>
    <t>操作软件</t>
    <phoneticPr fontId="1" type="noConversion"/>
  </si>
  <si>
    <t>协调控制器</t>
    <phoneticPr fontId="1" type="noConversion"/>
  </si>
  <si>
    <t>操作台</t>
    <phoneticPr fontId="1" type="noConversion"/>
  </si>
  <si>
    <t>计量装置</t>
    <phoneticPr fontId="1" type="noConversion"/>
  </si>
  <si>
    <t>序号</t>
    <phoneticPr fontId="1" type="noConversion"/>
  </si>
  <si>
    <t>BOM明细</t>
    <phoneticPr fontId="1" type="noConversion"/>
  </si>
  <si>
    <t>数量</t>
    <phoneticPr fontId="1" type="noConversion"/>
  </si>
  <si>
    <t>——</t>
    <phoneticPr fontId="1" type="noConversion"/>
  </si>
  <si>
    <t>舱体—PCS直流线缆（240m㎡）</t>
    <phoneticPr fontId="1" type="noConversion"/>
  </si>
  <si>
    <t>辅助变—舱体交流线缆（35m㎡）</t>
    <phoneticPr fontId="1" type="noConversion"/>
  </si>
  <si>
    <t>高压室—并网柜线缆（120m㎡）</t>
    <phoneticPr fontId="1" type="noConversion"/>
  </si>
  <si>
    <t>信号线及光纤</t>
    <phoneticPr fontId="1" type="noConversion"/>
  </si>
  <si>
    <t>接线辅材</t>
    <phoneticPr fontId="1" type="noConversion"/>
  </si>
  <si>
    <t>线缆及辅材</t>
    <phoneticPr fontId="1" type="noConversion"/>
  </si>
  <si>
    <t>并网设备</t>
    <phoneticPr fontId="1" type="noConversion"/>
  </si>
  <si>
    <t>并网柜</t>
    <phoneticPr fontId="1" type="noConversion"/>
  </si>
  <si>
    <t>联络柜（如需）</t>
    <phoneticPr fontId="1" type="noConversion"/>
  </si>
  <si>
    <t>箱式主变（如需）</t>
    <phoneticPr fontId="1" type="noConversion"/>
  </si>
  <si>
    <t>二次仓（如需）</t>
    <phoneticPr fontId="1" type="noConversion"/>
  </si>
  <si>
    <t>破硬化路面（如需）</t>
    <phoneticPr fontId="1" type="noConversion"/>
  </si>
  <si>
    <t>土方开挖</t>
    <phoneticPr fontId="1" type="noConversion"/>
  </si>
  <si>
    <t>钢结构搭建</t>
    <phoneticPr fontId="1" type="noConversion"/>
  </si>
  <si>
    <t>混凝土浇筑</t>
    <phoneticPr fontId="1" type="noConversion"/>
  </si>
  <si>
    <t>槽钢铺设</t>
    <phoneticPr fontId="1" type="noConversion"/>
  </si>
  <si>
    <t>电缆桥架</t>
    <phoneticPr fontId="1" type="noConversion"/>
  </si>
  <si>
    <t>路面硬化</t>
    <phoneticPr fontId="1" type="noConversion"/>
  </si>
  <si>
    <t>人工费用</t>
    <phoneticPr fontId="1" type="noConversion"/>
  </si>
  <si>
    <t>单位</t>
    <phoneticPr fontId="1" type="noConversion"/>
  </si>
  <si>
    <t>套</t>
    <phoneticPr fontId="1" type="noConversion"/>
  </si>
  <si>
    <t>台</t>
    <phoneticPr fontId="1" type="noConversion"/>
  </si>
  <si>
    <t>变流器</t>
    <phoneticPr fontId="1" type="noConversion"/>
  </si>
  <si>
    <t>套</t>
    <phoneticPr fontId="1" type="noConversion"/>
  </si>
  <si>
    <t>台</t>
    <phoneticPr fontId="1" type="noConversion"/>
  </si>
  <si>
    <t>台</t>
    <phoneticPr fontId="1" type="noConversion"/>
  </si>
  <si>
    <t>套</t>
    <phoneticPr fontId="1" type="noConversion"/>
  </si>
  <si>
    <t>台</t>
    <phoneticPr fontId="1" type="noConversion"/>
  </si>
  <si>
    <t>单位</t>
    <phoneticPr fontId="1" type="noConversion"/>
  </si>
  <si>
    <t>套</t>
    <phoneticPr fontId="1" type="noConversion"/>
  </si>
  <si>
    <t>台</t>
    <phoneticPr fontId="1" type="noConversion"/>
  </si>
  <si>
    <t>m</t>
    <phoneticPr fontId="1" type="noConversion"/>
  </si>
  <si>
    <t>m</t>
    <phoneticPr fontId="1" type="noConversion"/>
  </si>
  <si>
    <t>m</t>
    <phoneticPr fontId="1" type="noConversion"/>
  </si>
  <si>
    <t>套</t>
    <phoneticPr fontId="1" type="noConversion"/>
  </si>
  <si>
    <t>套</t>
    <phoneticPr fontId="1" type="noConversion"/>
  </si>
  <si>
    <t>台</t>
    <phoneticPr fontId="1" type="noConversion"/>
  </si>
  <si>
    <t>m³</t>
    <phoneticPr fontId="1" type="noConversion"/>
  </si>
  <si>
    <t>吨</t>
    <phoneticPr fontId="1" type="noConversion"/>
  </si>
  <si>
    <t>吨</t>
    <phoneticPr fontId="1" type="noConversion"/>
  </si>
  <si>
    <t>基建、施工、耗材、一次性支出成本</t>
    <phoneticPr fontId="1" type="noConversion"/>
  </si>
  <si>
    <t>一次性支出</t>
    <phoneticPr fontId="1" type="noConversion"/>
  </si>
  <si>
    <t>居间费</t>
    <phoneticPr fontId="1" type="noConversion"/>
  </si>
  <si>
    <t>土地购买费用</t>
    <phoneticPr fontId="1" type="noConversion"/>
  </si>
  <si>
    <t>设计费</t>
    <phoneticPr fontId="1" type="noConversion"/>
  </si>
  <si>
    <t>监理费</t>
    <phoneticPr fontId="1" type="noConversion"/>
  </si>
  <si>
    <t>电气安装工程</t>
    <phoneticPr fontId="1" type="noConversion"/>
  </si>
  <si>
    <t>分项成本</t>
    <phoneticPr fontId="1" type="noConversion"/>
  </si>
  <si>
    <t>分项总价</t>
    <phoneticPr fontId="1" type="noConversion"/>
  </si>
  <si>
    <t>分项成本</t>
    <phoneticPr fontId="1" type="noConversion"/>
  </si>
  <si>
    <t>分项总价</t>
    <phoneticPr fontId="1" type="noConversion"/>
  </si>
  <si>
    <t>元</t>
    <phoneticPr fontId="1" type="noConversion"/>
  </si>
  <si>
    <t>元</t>
    <phoneticPr fontId="1" type="noConversion"/>
  </si>
  <si>
    <t>元</t>
    <phoneticPr fontId="1" type="noConversion"/>
  </si>
  <si>
    <t>元</t>
    <phoneticPr fontId="1" type="noConversion"/>
  </si>
  <si>
    <t>元</t>
    <phoneticPr fontId="1" type="noConversion"/>
  </si>
  <si>
    <t>年初</t>
    <phoneticPr fontId="1" type="noConversion"/>
  </si>
  <si>
    <t>年末</t>
    <phoneticPr fontId="1" type="noConversion"/>
  </si>
  <si>
    <t>综合</t>
    <phoneticPr fontId="1" type="noConversion"/>
  </si>
  <si>
    <t>充电效率</t>
    <phoneticPr fontId="1" type="noConversion"/>
  </si>
  <si>
    <t>放电效率</t>
    <phoneticPr fontId="1" type="noConversion"/>
  </si>
  <si>
    <t>系统综合效率</t>
    <phoneticPr fontId="1" type="noConversion"/>
  </si>
  <si>
    <t>直流侧效率</t>
    <phoneticPr fontId="1" type="noConversion"/>
  </si>
  <si>
    <t>系统效率</t>
    <phoneticPr fontId="1" type="noConversion"/>
  </si>
  <si>
    <t>PCS效率</t>
    <phoneticPr fontId="1" type="noConversion"/>
  </si>
  <si>
    <t>升压效率</t>
    <phoneticPr fontId="1" type="noConversion"/>
  </si>
  <si>
    <t>元器件及线缆损耗</t>
    <phoneticPr fontId="1" type="noConversion"/>
  </si>
  <si>
    <t>温度修正系数</t>
    <phoneticPr fontId="1" type="noConversion"/>
  </si>
  <si>
    <t>充/放单次自用电</t>
    <phoneticPr fontId="1" type="noConversion"/>
  </si>
  <si>
    <t>%</t>
    <phoneticPr fontId="1" type="noConversion"/>
  </si>
  <si>
    <t>kWh</t>
    <phoneticPr fontId="1" type="noConversion"/>
  </si>
  <si>
    <t>单次充放电深度</t>
    <phoneticPr fontId="1" type="noConversion"/>
  </si>
  <si>
    <t>年循环次数</t>
    <phoneticPr fontId="1" type="noConversion"/>
  </si>
  <si>
    <t>使用年限</t>
    <phoneticPr fontId="1" type="noConversion"/>
  </si>
  <si>
    <t>总循环次数</t>
    <phoneticPr fontId="1" type="noConversion"/>
  </si>
  <si>
    <t>%</t>
    <phoneticPr fontId="1" type="noConversion"/>
  </si>
  <si>
    <t>次</t>
    <phoneticPr fontId="1" type="noConversion"/>
  </si>
  <si>
    <t>年</t>
    <phoneticPr fontId="1" type="noConversion"/>
  </si>
  <si>
    <t>次</t>
    <phoneticPr fontId="1" type="noConversion"/>
  </si>
  <si>
    <t>使用工况</t>
    <phoneticPr fontId="1" type="noConversion"/>
  </si>
  <si>
    <t>充电量</t>
    <phoneticPr fontId="1" type="noConversion"/>
  </si>
  <si>
    <t>放电量</t>
    <phoneticPr fontId="1" type="noConversion"/>
  </si>
  <si>
    <t>储能系统总容量</t>
    <phoneticPr fontId="1" type="noConversion"/>
  </si>
  <si>
    <t>MWh</t>
    <phoneticPr fontId="1" type="noConversion"/>
  </si>
  <si>
    <t>实际工况每年充放电量</t>
    <phoneticPr fontId="1" type="noConversion"/>
  </si>
  <si>
    <t>充电量</t>
    <phoneticPr fontId="1" type="noConversion"/>
  </si>
  <si>
    <t>放电量</t>
    <phoneticPr fontId="1" type="noConversion"/>
  </si>
  <si>
    <t>充放电费</t>
    <phoneticPr fontId="1" type="noConversion"/>
  </si>
  <si>
    <t>元/kWh</t>
    <phoneticPr fontId="1" type="noConversion"/>
  </si>
  <si>
    <t>累计充电量</t>
    <phoneticPr fontId="1" type="noConversion"/>
  </si>
  <si>
    <t>累计放电量</t>
    <phoneticPr fontId="1" type="noConversion"/>
  </si>
  <si>
    <t>累计充电电费</t>
    <phoneticPr fontId="1" type="noConversion"/>
  </si>
  <si>
    <t>累计放电电费</t>
    <phoneticPr fontId="1" type="noConversion"/>
  </si>
  <si>
    <t>kWh</t>
    <phoneticPr fontId="1" type="noConversion"/>
  </si>
  <si>
    <t>kWh</t>
    <phoneticPr fontId="1" type="noConversion"/>
  </si>
  <si>
    <t>元</t>
    <phoneticPr fontId="1" type="noConversion"/>
  </si>
  <si>
    <t>元</t>
    <phoneticPr fontId="1" type="noConversion"/>
  </si>
  <si>
    <t>CAPEX</t>
    <phoneticPr fontId="1" type="noConversion"/>
  </si>
  <si>
    <t>+</t>
    <phoneticPr fontId="1" type="noConversion"/>
  </si>
  <si>
    <t>OPEX</t>
    <phoneticPr fontId="1" type="noConversion"/>
  </si>
  <si>
    <t>累计充电电费</t>
    <phoneticPr fontId="1" type="noConversion"/>
  </si>
  <si>
    <t>累计放电电量</t>
    <phoneticPr fontId="1" type="noConversion"/>
  </si>
  <si>
    <t>直流侧成本</t>
    <phoneticPr fontId="1" type="noConversion"/>
  </si>
  <si>
    <t>交流侧成本</t>
    <phoneticPr fontId="1" type="noConversion"/>
  </si>
  <si>
    <t>施工基建成本</t>
    <phoneticPr fontId="1" type="noConversion"/>
  </si>
  <si>
    <t>运维成本</t>
    <phoneticPr fontId="1" type="noConversion"/>
  </si>
  <si>
    <t>————————————————————————————————————</t>
    <phoneticPr fontId="1" type="noConversion"/>
  </si>
  <si>
    <t>LCOS=</t>
    <phoneticPr fontId="1" type="noConversion"/>
  </si>
  <si>
    <t>=</t>
    <phoneticPr fontId="1" type="noConversion"/>
  </si>
  <si>
    <t>运输费用</t>
    <phoneticPr fontId="1" type="noConversion"/>
  </si>
  <si>
    <t>费用构成</t>
    <phoneticPr fontId="1" type="noConversion"/>
  </si>
  <si>
    <t>场地租金</t>
    <phoneticPr fontId="1" type="noConversion"/>
  </si>
  <si>
    <t>运营费用</t>
    <phoneticPr fontId="1" type="noConversion"/>
  </si>
  <si>
    <t>序号</t>
    <phoneticPr fontId="1" type="noConversion"/>
  </si>
  <si>
    <t>运维费用</t>
    <phoneticPr fontId="1" type="noConversion"/>
  </si>
  <si>
    <t>人工费</t>
    <phoneticPr fontId="1" type="noConversion"/>
  </si>
  <si>
    <t>云平台费用</t>
    <phoneticPr fontId="1" type="noConversion"/>
  </si>
  <si>
    <t>设备更换费用</t>
    <phoneticPr fontId="1" type="noConversion"/>
  </si>
  <si>
    <t>定期设备更换</t>
    <phoneticPr fontId="1" type="noConversion"/>
  </si>
  <si>
    <t>损坏设备更换</t>
    <phoneticPr fontId="1" type="noConversion"/>
  </si>
  <si>
    <t>保险费</t>
    <phoneticPr fontId="1" type="noConversion"/>
  </si>
  <si>
    <t>合计</t>
    <phoneticPr fontId="1" type="noConversion"/>
  </si>
  <si>
    <t>场地租金</t>
    <phoneticPr fontId="1" type="noConversion"/>
  </si>
  <si>
    <t>元/㎡/年</t>
    <phoneticPr fontId="1" type="noConversion"/>
  </si>
  <si>
    <t>占地面积</t>
    <phoneticPr fontId="1" type="noConversion"/>
  </si>
  <si>
    <t>㎡</t>
    <phoneticPr fontId="1" type="noConversion"/>
  </si>
  <si>
    <t>人工费</t>
    <phoneticPr fontId="1" type="noConversion"/>
  </si>
  <si>
    <t>元/年</t>
    <phoneticPr fontId="1" type="noConversion"/>
  </si>
  <si>
    <t>云平台费</t>
    <phoneticPr fontId="1" type="noConversion"/>
  </si>
  <si>
    <t>元/年</t>
    <phoneticPr fontId="1" type="noConversion"/>
  </si>
  <si>
    <t>保险费比例</t>
    <phoneticPr fontId="1" type="noConversion"/>
  </si>
  <si>
    <t>%</t>
    <phoneticPr fontId="1" type="noConversion"/>
  </si>
  <si>
    <t>保险费用</t>
    <phoneticPr fontId="1" type="noConversion"/>
  </si>
  <si>
    <t>储能系统功率</t>
    <phoneticPr fontId="1" type="noConversion"/>
  </si>
  <si>
    <t>MW</t>
    <phoneticPr fontId="1" type="noConversion"/>
  </si>
  <si>
    <t>参数设置</t>
    <phoneticPr fontId="1" type="noConversion"/>
  </si>
  <si>
    <t>设备更换费用</t>
    <phoneticPr fontId="1" type="noConversion"/>
  </si>
  <si>
    <t>年份</t>
    <phoneticPr fontId="1" type="noConversion"/>
  </si>
  <si>
    <t>m</t>
    <phoneticPr fontId="1" type="noConversion"/>
  </si>
  <si>
    <t>元/人/日</t>
    <phoneticPr fontId="1" type="noConversion"/>
  </si>
  <si>
    <t>备品备件</t>
    <phoneticPr fontId="1" type="noConversion"/>
  </si>
  <si>
    <t>一次性工具</t>
    <phoneticPr fontId="1" type="noConversion"/>
  </si>
  <si>
    <t>套</t>
    <phoneticPr fontId="1" type="noConversion"/>
  </si>
  <si>
    <t>PCS直流侧熔断器</t>
    <phoneticPr fontId="1" type="noConversion"/>
  </si>
  <si>
    <t>PCS直流侧防雷</t>
    <phoneticPr fontId="1" type="noConversion"/>
  </si>
  <si>
    <t>PCS交流侧防雷</t>
    <phoneticPr fontId="1" type="noConversion"/>
  </si>
  <si>
    <t>风扇</t>
    <phoneticPr fontId="1" type="noConversion"/>
  </si>
  <si>
    <t>吊具</t>
    <phoneticPr fontId="1" type="noConversion"/>
  </si>
  <si>
    <t>套</t>
    <phoneticPr fontId="1" type="noConversion"/>
  </si>
  <si>
    <t>套</t>
    <phoneticPr fontId="1" type="noConversion"/>
  </si>
  <si>
    <t>个</t>
    <phoneticPr fontId="1" type="noConversion"/>
  </si>
  <si>
    <t>人员差旅费</t>
    <phoneticPr fontId="1" type="noConversion"/>
  </si>
  <si>
    <t>站区消防</t>
    <phoneticPr fontId="1" type="noConversion"/>
  </si>
  <si>
    <t>消防池</t>
    <phoneticPr fontId="1" type="noConversion"/>
  </si>
  <si>
    <t>消防水泵</t>
    <phoneticPr fontId="1" type="noConversion"/>
  </si>
  <si>
    <t>消防水管</t>
    <phoneticPr fontId="1" type="noConversion"/>
  </si>
  <si>
    <t>施工杂费</t>
    <phoneticPr fontId="1" type="noConversion"/>
  </si>
  <si>
    <t>站区监控</t>
    <phoneticPr fontId="1" type="noConversion"/>
  </si>
  <si>
    <t>预制监控室</t>
    <phoneticPr fontId="1" type="noConversion"/>
  </si>
  <si>
    <t>站区安防</t>
    <phoneticPr fontId="1" type="noConversion"/>
  </si>
  <si>
    <t>消防主机</t>
    <phoneticPr fontId="1" type="noConversion"/>
  </si>
  <si>
    <t>门禁</t>
    <phoneticPr fontId="1" type="noConversion"/>
  </si>
  <si>
    <t>围墙</t>
    <phoneticPr fontId="1" type="noConversion"/>
  </si>
  <si>
    <t>m</t>
    <phoneticPr fontId="1" type="noConversion"/>
  </si>
  <si>
    <t>m³</t>
    <phoneticPr fontId="1" type="noConversion"/>
  </si>
  <si>
    <t>消防土建</t>
    <phoneticPr fontId="1" type="noConversion"/>
  </si>
  <si>
    <t>基础土建</t>
    <phoneticPr fontId="1" type="noConversion"/>
  </si>
  <si>
    <t>m³</t>
    <phoneticPr fontId="1" type="noConversion"/>
  </si>
  <si>
    <t>站用变—配电柜交流线缆（35m㎡）</t>
    <phoneticPr fontId="1" type="noConversion"/>
  </si>
  <si>
    <t>台</t>
    <phoneticPr fontId="1" type="noConversion"/>
  </si>
  <si>
    <t>套</t>
    <phoneticPr fontId="1" type="noConversion"/>
  </si>
  <si>
    <t>监控主机</t>
    <phoneticPr fontId="1" type="noConversion"/>
  </si>
  <si>
    <t>m³</t>
    <phoneticPr fontId="1" type="noConversion"/>
  </si>
  <si>
    <t>土方清运</t>
    <phoneticPr fontId="1" type="noConversion"/>
  </si>
  <si>
    <t>m³</t>
    <phoneticPr fontId="1" type="noConversion"/>
  </si>
  <si>
    <t>其他建工费用</t>
    <phoneticPr fontId="1" type="noConversion"/>
  </si>
  <si>
    <t>元</t>
    <phoneticPr fontId="1" type="noConversion"/>
  </si>
  <si>
    <t>随机损坏设备更换</t>
    <phoneticPr fontId="1" type="noConversion"/>
  </si>
  <si>
    <t>—</t>
    <phoneticPr fontId="1" type="noConversion"/>
  </si>
  <si>
    <t>设备残值</t>
    <phoneticPr fontId="1" type="noConversion"/>
  </si>
  <si>
    <t>元</t>
    <phoneticPr fontId="1" type="noConversion"/>
  </si>
  <si>
    <t>元</t>
    <phoneticPr fontId="1" type="noConversion"/>
  </si>
  <si>
    <t>元</t>
    <phoneticPr fontId="1" type="noConversion"/>
  </si>
  <si>
    <t>m</t>
    <phoneticPr fontId="1" type="noConversion"/>
  </si>
  <si>
    <t>LCOE=</t>
    <phoneticPr fontId="1" type="noConversion"/>
  </si>
  <si>
    <t>照明</t>
    <phoneticPr fontId="1" type="noConversion"/>
  </si>
  <si>
    <t>高压箱断路器</t>
    <phoneticPr fontId="1" type="noConversion"/>
  </si>
  <si>
    <t>高压箱熔断器</t>
    <phoneticPr fontId="1" type="noConversion"/>
  </si>
  <si>
    <t>舱级探测器</t>
    <phoneticPr fontId="1" type="noConversion"/>
  </si>
  <si>
    <t>直流侧类型</t>
    <phoneticPr fontId="1" type="noConversion"/>
  </si>
  <si>
    <t>单集装箱240mm主正出线数量</t>
    <phoneticPr fontId="1" type="noConversion"/>
  </si>
  <si>
    <t>CALB392-6.25</t>
    <phoneticPr fontId="1" type="noConversion"/>
  </si>
  <si>
    <t>集装箱数量</t>
    <phoneticPr fontId="1" type="noConversion"/>
  </si>
  <si>
    <t>占地面积</t>
    <phoneticPr fontId="1" type="noConversion"/>
  </si>
  <si>
    <t>直流侧效率</t>
    <phoneticPr fontId="1" type="noConversion"/>
  </si>
  <si>
    <t>CALB392-6.25剩余容量</t>
    <phoneticPr fontId="1" type="noConversion"/>
  </si>
  <si>
    <t>CATL565-6</t>
    <phoneticPr fontId="1" type="noConversion"/>
  </si>
  <si>
    <t>CATL565-6剩余容量</t>
    <phoneticPr fontId="1" type="noConversion"/>
  </si>
  <si>
    <t>640A-6.68</t>
    <phoneticPr fontId="1" type="noConversion"/>
  </si>
  <si>
    <t>640A-6.68剩余容量</t>
    <phoneticPr fontId="1" type="noConversion"/>
  </si>
  <si>
    <t>中车648-6.9</t>
    <phoneticPr fontId="1" type="noConversion"/>
  </si>
  <si>
    <t>中车648-6.9剩余容量</t>
    <phoneticPr fontId="1" type="noConversion"/>
  </si>
  <si>
    <t>CALB392-6.25每年充放电量</t>
    <phoneticPr fontId="1" type="noConversion"/>
  </si>
  <si>
    <t>CATL587-6.25每年充放电量</t>
    <phoneticPr fontId="1" type="noConversion"/>
  </si>
  <si>
    <t>CATL565-6每年充放电量</t>
    <phoneticPr fontId="1" type="noConversion"/>
  </si>
  <si>
    <t>640A-6.68每年充放电量</t>
    <phoneticPr fontId="1" type="noConversion"/>
  </si>
  <si>
    <t>中车648-6.9每年充放电量</t>
    <phoneticPr fontId="1" type="noConversion"/>
  </si>
  <si>
    <t>产品型号</t>
    <phoneticPr fontId="1" type="noConversion"/>
  </si>
  <si>
    <t>CATL588-6.26</t>
    <phoneticPr fontId="1" type="noConversion"/>
  </si>
  <si>
    <t>200MWh直流侧总成本（单位：元）</t>
    <phoneticPr fontId="1" type="noConversion"/>
  </si>
  <si>
    <t>CATL588-6.26剩余容量</t>
    <phoneticPr fontId="1" type="noConversion"/>
  </si>
  <si>
    <t>集装箱价格</t>
    <phoneticPr fontId="1" type="noConversion"/>
  </si>
  <si>
    <t>配电柜—ATS交流线缆（4m㎡）</t>
    <phoneticPr fontId="1" type="noConversion"/>
  </si>
  <si>
    <t>接地变压器（400V）-重要负载</t>
    <phoneticPr fontId="1" type="noConversion"/>
  </si>
  <si>
    <t>维护费。单台集装箱12000元</t>
    <phoneticPr fontId="1" type="noConversion"/>
  </si>
  <si>
    <t>kW</t>
    <phoneticPr fontId="1" type="noConversion"/>
  </si>
  <si>
    <t>待机损耗功率</t>
    <phoneticPr fontId="1" type="noConversion"/>
  </si>
  <si>
    <t>待机损耗电量</t>
    <phoneticPr fontId="1" type="noConversion"/>
  </si>
  <si>
    <t>kWh</t>
    <phoneticPr fontId="1" type="noConversion"/>
  </si>
  <si>
    <t>全天综合能效</t>
    <phoneticPr fontId="1" type="noConversion"/>
  </si>
  <si>
    <t>收入</t>
    <phoneticPr fontId="1" type="noConversion"/>
  </si>
  <si>
    <t>放电量</t>
    <phoneticPr fontId="1" type="noConversion"/>
  </si>
  <si>
    <t>支出</t>
    <phoneticPr fontId="1" type="noConversion"/>
  </si>
  <si>
    <t>设备折旧</t>
    <phoneticPr fontId="1" type="noConversion"/>
  </si>
  <si>
    <t>售电金额</t>
    <phoneticPr fontId="1" type="noConversion"/>
  </si>
  <si>
    <t>购电金额</t>
    <phoneticPr fontId="1" type="noConversion"/>
  </si>
  <si>
    <t>充电量</t>
    <phoneticPr fontId="1" type="noConversion"/>
  </si>
  <si>
    <t>年折旧费</t>
    <phoneticPr fontId="1" type="noConversion"/>
  </si>
  <si>
    <t>OPEX</t>
    <phoneticPr fontId="1" type="noConversion"/>
  </si>
  <si>
    <t>利润</t>
    <phoneticPr fontId="1" type="noConversion"/>
  </si>
  <si>
    <t>所得税</t>
    <phoneticPr fontId="1" type="noConversion"/>
  </si>
  <si>
    <t>净利润</t>
    <phoneticPr fontId="1" type="noConversion"/>
  </si>
  <si>
    <t>现金流</t>
    <phoneticPr fontId="1" type="noConversion"/>
  </si>
  <si>
    <t>增值税应缴</t>
    <phoneticPr fontId="1" type="noConversion"/>
  </si>
  <si>
    <t>增值税抵扣</t>
    <phoneticPr fontId="1" type="noConversion"/>
  </si>
  <si>
    <t>增值税实缴</t>
    <phoneticPr fontId="1" type="noConversion"/>
  </si>
  <si>
    <t>当期现金收入</t>
    <phoneticPr fontId="1" type="noConversion"/>
  </si>
  <si>
    <t>利润总额</t>
    <phoneticPr fontId="1" type="noConversion"/>
  </si>
  <si>
    <t>IRR</t>
    <phoneticPr fontId="1" type="noConversion"/>
  </si>
  <si>
    <t>全投资累计现金流</t>
    <phoneticPr fontId="1" type="noConversion"/>
  </si>
  <si>
    <t>回收年限</t>
    <phoneticPr fontId="1" type="noConversion"/>
  </si>
  <si>
    <t>净利润</t>
    <phoneticPr fontId="1" type="noConversion"/>
  </si>
  <si>
    <t>万元</t>
    <phoneticPr fontId="1" type="noConversion"/>
  </si>
  <si>
    <t>IRR</t>
    <phoneticPr fontId="1" type="noConversion"/>
  </si>
  <si>
    <t>回收年限</t>
    <phoneticPr fontId="1" type="noConversion"/>
  </si>
  <si>
    <t>年</t>
    <phoneticPr fontId="1" type="noConversion"/>
  </si>
  <si>
    <t>充电电费</t>
    <phoneticPr fontId="1" type="noConversion"/>
  </si>
  <si>
    <t>放电电量</t>
    <phoneticPr fontId="1" type="noConversion"/>
  </si>
  <si>
    <t>CALB314-5.0</t>
    <phoneticPr fontId="1" type="noConversion"/>
  </si>
  <si>
    <t>中车648-6.9</t>
    <phoneticPr fontId="1" type="noConversion"/>
  </si>
  <si>
    <t>CALB314-5.0</t>
    <phoneticPr fontId="1" type="noConversion"/>
  </si>
  <si>
    <t>面积</t>
    <phoneticPr fontId="1" type="noConversion"/>
  </si>
  <si>
    <t>㎡</t>
    <phoneticPr fontId="1" type="noConversion"/>
  </si>
  <si>
    <t>CALB314B-5.0</t>
    <phoneticPr fontId="1" type="noConversion"/>
  </si>
  <si>
    <t>314B-5.0剩余容量</t>
    <phoneticPr fontId="1" type="noConversion"/>
  </si>
  <si>
    <t>314B-5.0每年充放电量</t>
    <phoneticPr fontId="1" type="noConversion"/>
  </si>
  <si>
    <t>CALB314B-5.0</t>
    <phoneticPr fontId="1" type="noConversion"/>
  </si>
  <si>
    <t>capex</t>
    <phoneticPr fontId="1" type="noConversion"/>
  </si>
  <si>
    <t>opex</t>
    <phoneticPr fontId="1" type="noConversion"/>
  </si>
  <si>
    <t>电费</t>
    <phoneticPr fontId="1" type="noConversion"/>
  </si>
  <si>
    <t>电量</t>
    <phoneticPr fontId="1" type="noConversion"/>
  </si>
  <si>
    <t>314B</t>
    <phoneticPr fontId="1" type="noConversion"/>
  </si>
  <si>
    <t>市场化购电电价</t>
    <phoneticPr fontId="1" type="noConversion"/>
  </si>
  <si>
    <t>市场化放电电价</t>
    <phoneticPr fontId="1" type="noConversion"/>
  </si>
  <si>
    <t>调频收益</t>
    <phoneticPr fontId="1" type="noConversion"/>
  </si>
  <si>
    <t>容量电价</t>
    <phoneticPr fontId="1" type="noConversion"/>
  </si>
  <si>
    <t>元/MW</t>
    <phoneticPr fontId="1" type="noConversion"/>
  </si>
  <si>
    <t>元/kW/年</t>
    <phoneticPr fontId="1" type="noConversion"/>
  </si>
  <si>
    <t>毛利润</t>
    <phoneticPr fontId="1" type="noConversion"/>
  </si>
  <si>
    <t>调频收益</t>
    <phoneticPr fontId="1" type="noConversion"/>
  </si>
  <si>
    <t>容量电费</t>
    <phoneticPr fontId="1" type="noConversion"/>
  </si>
  <si>
    <t>CALB314B-5.0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</si>
</sst>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0.00_ "/>
    <numFmt numFmtId="178" formatCode="0.00_);[Red]\(0.00\)"/>
  </numFmts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22"/>
      <color theme="1"/>
      <name val="等线"/>
      <family val="2"/>
      <scheme val="minor"/>
    </font>
    <font>
      <sz val="72"/>
      <color theme="1"/>
      <name val="等线"/>
      <family val="2"/>
      <scheme val="minor"/>
    </font>
    <font>
      <b/>
      <sz val="24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8"/>
      <color theme="10"/>
      <name val="等线"/>
      <family val="2"/>
      <scheme val="minor"/>
    </font>
    <font>
      <u/>
      <sz val="8"/>
      <color theme="10"/>
      <name val="等线"/>
      <family val="3"/>
      <charset val="134"/>
      <scheme val="minor"/>
    </font>
    <font>
      <u/>
      <sz val="20"/>
      <color theme="10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u/>
      <sz val="18"/>
      <color theme="10"/>
      <name val="等线"/>
      <family val="2"/>
      <scheme val="minor"/>
    </font>
    <font>
      <u/>
      <sz val="18"/>
      <color theme="10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7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1" xfId="0" applyFont="1" applyFill="1" applyBorder="1" applyAlignment="1" applyProtection="1">
      <alignment horizontal="center" vertical="center"/>
      <protection locked="0"/>
    </xf>
    <xf numFmtId="10" fontId="0" fillId="5" borderId="1" xfId="0" applyNumberForma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0" xfId="0" applyNumberFormat="1"/>
    <xf numFmtId="0" fontId="0" fillId="2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 applyProtection="1">
      <alignment horizontal="center" vertical="center"/>
    </xf>
    <xf numFmtId="0" fontId="0" fillId="6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ont="1" applyFill="1" applyBorder="1" applyAlignment="1" applyProtection="1">
      <alignment horizontal="center" vertical="center"/>
      <protection locked="0"/>
    </xf>
    <xf numFmtId="0" fontId="0" fillId="7" borderId="0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0" fontId="2" fillId="0" borderId="0" xfId="0" applyNumberFormat="1" applyFont="1"/>
    <xf numFmtId="177" fontId="2" fillId="0" borderId="0" xfId="0" applyNumberFormat="1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7" fillId="0" borderId="9" xfId="1" applyBorder="1" applyAlignment="1">
      <alignment horizontal="center" vertical="center" wrapText="1"/>
    </xf>
    <xf numFmtId="0" fontId="7" fillId="0" borderId="10" xfId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X34"/>
  <sheetViews>
    <sheetView zoomScaleNormal="100" workbookViewId="0">
      <selection activeCell="C36" sqref="C36"/>
    </sheetView>
  </sheetViews>
  <sheetFormatPr defaultRowHeight="15.75" x14ac:dyDescent="0.2"/>
  <cols>
    <col min="1" max="3" width="15" style="8" customWidth="1"/>
    <col min="4" max="4" width="8.875" style="1"/>
    <col min="5" max="5" width="12.75" style="1" bestFit="1" customWidth="1"/>
    <col min="6" max="6" width="13.375" style="1" customWidth="1"/>
    <col min="7" max="7" width="17.625" style="1" customWidth="1"/>
    <col min="8" max="8" width="12.25" style="1" customWidth="1"/>
    <col min="9" max="9" width="11.5" style="1" customWidth="1"/>
    <col min="10" max="10" width="11.625" style="1" bestFit="1" customWidth="1"/>
    <col min="11" max="12" width="11.5" style="1" customWidth="1"/>
    <col min="13" max="13" width="14.875" style="1" customWidth="1"/>
    <col min="14" max="15" width="8.875" style="1"/>
    <col min="18" max="18" width="0" hidden="1" customWidth="1"/>
    <col min="19" max="19" width="12.75" bestFit="1" customWidth="1"/>
    <col min="21" max="21" width="12.75" bestFit="1" customWidth="1"/>
    <col min="23" max="23" width="12.75" bestFit="1" customWidth="1"/>
    <col min="24" max="24" width="17.875" customWidth="1"/>
  </cols>
  <sheetData>
    <row r="2" spans="1:24" ht="13.9" customHeight="1" x14ac:dyDescent="0.2">
      <c r="A2" s="77" t="s">
        <v>129</v>
      </c>
      <c r="B2" s="77"/>
      <c r="C2" s="77"/>
      <c r="D2" s="111" t="s">
        <v>119</v>
      </c>
      <c r="E2" s="96"/>
      <c r="F2" s="97"/>
      <c r="G2" s="83" t="s">
        <v>120</v>
      </c>
      <c r="H2" s="102" t="s">
        <v>121</v>
      </c>
      <c r="I2" s="103"/>
      <c r="J2" s="83" t="s">
        <v>120</v>
      </c>
      <c r="K2" s="73" t="s">
        <v>122</v>
      </c>
      <c r="L2" s="74"/>
      <c r="M2" s="77" t="s">
        <v>130</v>
      </c>
      <c r="N2" s="78">
        <f>(D6+E6+F6+H6+K6)/D12</f>
        <v>0.27728199978792428</v>
      </c>
      <c r="O2" s="78"/>
      <c r="P2" s="78"/>
      <c r="Q2" s="78"/>
      <c r="S2" t="s">
        <v>263</v>
      </c>
      <c r="U2" t="s">
        <v>268</v>
      </c>
    </row>
    <row r="3" spans="1:24" ht="13.9" customHeight="1" x14ac:dyDescent="0.2">
      <c r="A3" s="77"/>
      <c r="B3" s="77"/>
      <c r="C3" s="77"/>
      <c r="D3" s="112"/>
      <c r="E3" s="98"/>
      <c r="F3" s="99"/>
      <c r="G3" s="83"/>
      <c r="H3" s="104"/>
      <c r="I3" s="105"/>
      <c r="J3" s="83"/>
      <c r="K3" s="75"/>
      <c r="L3" s="76"/>
      <c r="M3" s="77"/>
      <c r="N3" s="78"/>
      <c r="O3" s="78"/>
      <c r="P3" s="78"/>
      <c r="Q3" s="78"/>
      <c r="R3">
        <f>(D6+E6+F6)/10000</f>
        <v>25396.389724254295</v>
      </c>
      <c r="S3" s="66">
        <f>经济性测算!B23/10000</f>
        <v>99172.473429072881</v>
      </c>
      <c r="T3" t="s">
        <v>264</v>
      </c>
      <c r="U3">
        <f>K6/10000</f>
        <v>22472.97774240806</v>
      </c>
      <c r="W3">
        <f>(D6+E6+F6)</f>
        <v>253963897.24254295</v>
      </c>
      <c r="X3">
        <v>111011923.19732469</v>
      </c>
    </row>
    <row r="4" spans="1:24" ht="13.9" customHeight="1" x14ac:dyDescent="0.2">
      <c r="A4" s="77"/>
      <c r="B4" s="77"/>
      <c r="C4" s="77"/>
      <c r="D4" s="113" t="s">
        <v>124</v>
      </c>
      <c r="E4" s="116" t="s">
        <v>125</v>
      </c>
      <c r="F4" s="115" t="s">
        <v>126</v>
      </c>
      <c r="G4" s="83"/>
      <c r="H4" s="123" t="s">
        <v>127</v>
      </c>
      <c r="I4" s="124"/>
      <c r="J4" s="83"/>
      <c r="K4" s="75"/>
      <c r="L4" s="76"/>
      <c r="M4" s="77"/>
      <c r="N4" s="78"/>
      <c r="O4" s="78"/>
      <c r="P4" s="78"/>
      <c r="Q4" s="78"/>
      <c r="R4">
        <f>H6/10000</f>
        <v>6118.4120679999987</v>
      </c>
      <c r="X4">
        <v>121922147.53878233</v>
      </c>
    </row>
    <row r="5" spans="1:24" ht="13.9" customHeight="1" x14ac:dyDescent="0.2">
      <c r="A5" s="77"/>
      <c r="B5" s="77"/>
      <c r="C5" s="77"/>
      <c r="D5" s="114"/>
      <c r="E5" s="116"/>
      <c r="F5" s="115"/>
      <c r="G5" s="83"/>
      <c r="H5" s="123"/>
      <c r="I5" s="124"/>
      <c r="J5" s="83"/>
      <c r="K5" s="75"/>
      <c r="L5" s="76"/>
      <c r="M5" s="77"/>
      <c r="N5" s="78"/>
      <c r="O5" s="78"/>
      <c r="P5" s="78"/>
      <c r="Q5" s="78"/>
      <c r="R5">
        <f>K6/10000</f>
        <v>22472.97774240806</v>
      </c>
      <c r="S5" t="s">
        <v>265</v>
      </c>
      <c r="U5" t="s">
        <v>269</v>
      </c>
      <c r="W5">
        <f>X5/100000000</f>
        <v>0.10910224341457635</v>
      </c>
      <c r="X5">
        <f>X4-X3</f>
        <v>10910224.341457635</v>
      </c>
    </row>
    <row r="6" spans="1:24" ht="13.9" customHeight="1" x14ac:dyDescent="0.2">
      <c r="A6" s="77"/>
      <c r="B6" s="77"/>
      <c r="C6" s="77"/>
      <c r="D6" s="20">
        <f>直流侧成本构成!D2</f>
        <v>176964480</v>
      </c>
      <c r="E6" s="21">
        <f>交流侧成本构成!D1</f>
        <v>34338000</v>
      </c>
      <c r="F6" s="22">
        <f>施工耗材基建成本构成!D1</f>
        <v>42661417.242542952</v>
      </c>
      <c r="G6" s="83"/>
      <c r="H6" s="79">
        <f>运营期间费用构成!E1</f>
        <v>61184120.679999985</v>
      </c>
      <c r="I6" s="80"/>
      <c r="J6" s="83"/>
      <c r="K6" s="81">
        <f>累计充电电费及累计放电量!F1</f>
        <v>224729777.42408061</v>
      </c>
      <c r="L6" s="82"/>
      <c r="M6" s="77"/>
      <c r="N6" s="78"/>
      <c r="O6" s="78"/>
      <c r="P6" s="78"/>
      <c r="Q6" s="78"/>
      <c r="R6">
        <f>D12/10000</f>
        <v>194703.5133039802</v>
      </c>
      <c r="S6" s="65">
        <f>经济性测算!B25</f>
        <v>0.17124927738714413</v>
      </c>
      <c r="U6">
        <f>D12/10000</f>
        <v>194703.5133039802</v>
      </c>
      <c r="X6">
        <f>X5/X4</f>
        <v>8.9485171986387391E-2</v>
      </c>
    </row>
    <row r="7" spans="1:24" ht="22.15" customHeight="1" x14ac:dyDescent="0.2">
      <c r="A7" s="77"/>
      <c r="B7" s="77"/>
      <c r="C7" s="77"/>
      <c r="D7" s="72" t="s">
        <v>128</v>
      </c>
      <c r="E7" s="72"/>
      <c r="F7" s="72"/>
      <c r="G7" s="72"/>
      <c r="H7" s="72"/>
      <c r="I7" s="72"/>
      <c r="J7" s="72"/>
      <c r="K7" s="72"/>
      <c r="L7" s="72"/>
      <c r="M7" s="77"/>
      <c r="N7" s="78"/>
      <c r="O7" s="78"/>
      <c r="P7" s="78"/>
      <c r="Q7" s="78"/>
    </row>
    <row r="8" spans="1:24" ht="13.9" customHeight="1" x14ac:dyDescent="0.2">
      <c r="A8" s="77"/>
      <c r="B8" s="77"/>
      <c r="C8" s="77"/>
      <c r="D8" s="117" t="s">
        <v>123</v>
      </c>
      <c r="E8" s="118"/>
      <c r="F8" s="118"/>
      <c r="G8" s="118"/>
      <c r="H8" s="118"/>
      <c r="I8" s="118"/>
      <c r="J8" s="118"/>
      <c r="K8" s="118"/>
      <c r="L8" s="119"/>
      <c r="M8" s="77"/>
      <c r="N8" s="78"/>
      <c r="O8" s="78"/>
      <c r="P8" s="78"/>
      <c r="Q8" s="78"/>
      <c r="S8" t="s">
        <v>266</v>
      </c>
      <c r="X8">
        <v>40035627.199999996</v>
      </c>
    </row>
    <row r="9" spans="1:24" ht="13.9" customHeight="1" x14ac:dyDescent="0.2">
      <c r="A9" s="77"/>
      <c r="B9" s="77"/>
      <c r="C9" s="77"/>
      <c r="D9" s="120"/>
      <c r="E9" s="121"/>
      <c r="F9" s="121"/>
      <c r="G9" s="121"/>
      <c r="H9" s="121"/>
      <c r="I9" s="121"/>
      <c r="J9" s="121"/>
      <c r="K9" s="121"/>
      <c r="L9" s="122"/>
      <c r="M9" s="77"/>
      <c r="N9" s="78"/>
      <c r="O9" s="78"/>
      <c r="P9" s="78"/>
      <c r="Q9" s="78"/>
      <c r="S9" s="66">
        <f>经济性测算!B28</f>
        <v>5.2744697818102102</v>
      </c>
      <c r="T9" t="s">
        <v>267</v>
      </c>
      <c r="X9">
        <v>42498760.948799998</v>
      </c>
    </row>
    <row r="10" spans="1:24" ht="13.9" customHeight="1" x14ac:dyDescent="0.2">
      <c r="A10" s="77"/>
      <c r="B10" s="77"/>
      <c r="C10" s="77"/>
      <c r="D10" s="120"/>
      <c r="E10" s="121"/>
      <c r="F10" s="121"/>
      <c r="G10" s="121"/>
      <c r="H10" s="121"/>
      <c r="I10" s="121"/>
      <c r="J10" s="121"/>
      <c r="K10" s="121"/>
      <c r="L10" s="122"/>
      <c r="M10" s="77"/>
      <c r="N10" s="78"/>
      <c r="O10" s="78"/>
      <c r="P10" s="78"/>
      <c r="Q10" s="78"/>
      <c r="X10">
        <f>X9-X8</f>
        <v>2463133.748800002</v>
      </c>
    </row>
    <row r="11" spans="1:24" ht="13.9" customHeight="1" x14ac:dyDescent="0.2">
      <c r="A11" s="77"/>
      <c r="B11" s="77"/>
      <c r="C11" s="77"/>
      <c r="D11" s="120"/>
      <c r="E11" s="121"/>
      <c r="F11" s="121"/>
      <c r="G11" s="121"/>
      <c r="H11" s="121"/>
      <c r="I11" s="121"/>
      <c r="J11" s="121"/>
      <c r="K11" s="121"/>
      <c r="L11" s="122"/>
      <c r="M11" s="77"/>
      <c r="N11" s="78"/>
      <c r="O11" s="78"/>
      <c r="P11" s="78"/>
      <c r="Q11" s="78"/>
      <c r="S11" t="s">
        <v>273</v>
      </c>
      <c r="X11">
        <f>X10/X9</f>
        <v>5.7957777916571272E-2</v>
      </c>
    </row>
    <row r="12" spans="1:24" ht="13.9" customHeight="1" x14ac:dyDescent="0.2">
      <c r="A12" s="77"/>
      <c r="B12" s="77"/>
      <c r="C12" s="77"/>
      <c r="D12" s="84">
        <f>累计充电电费及累计放电量!B2</f>
        <v>1947035133.0398021</v>
      </c>
      <c r="E12" s="85"/>
      <c r="F12" s="85"/>
      <c r="G12" s="85"/>
      <c r="H12" s="85"/>
      <c r="I12" s="85"/>
      <c r="J12" s="85"/>
      <c r="K12" s="85"/>
      <c r="L12" s="86"/>
      <c r="M12" s="77"/>
      <c r="N12" s="78"/>
      <c r="O12" s="78"/>
      <c r="P12" s="78"/>
      <c r="Q12" s="78"/>
      <c r="S12" s="67">
        <f>直流侧成本构成!N2</f>
        <v>8600</v>
      </c>
      <c r="T12" t="s">
        <v>274</v>
      </c>
    </row>
    <row r="13" spans="1:24" ht="21" customHeight="1" x14ac:dyDescent="0.2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</row>
    <row r="14" spans="1:24" ht="14.25" x14ac:dyDescent="0.2">
      <c r="A14" s="87" t="s">
        <v>206</v>
      </c>
      <c r="B14" s="88"/>
      <c r="C14" s="89"/>
      <c r="D14" s="96" t="s">
        <v>119</v>
      </c>
      <c r="E14" s="96"/>
      <c r="F14" s="97"/>
      <c r="G14" s="100" t="s">
        <v>120</v>
      </c>
      <c r="H14" s="102" t="s">
        <v>121</v>
      </c>
      <c r="I14" s="103"/>
      <c r="J14" s="100" t="s">
        <v>200</v>
      </c>
      <c r="K14" s="106" t="s">
        <v>201</v>
      </c>
      <c r="L14" s="107"/>
      <c r="M14" s="125" t="s">
        <v>130</v>
      </c>
      <c r="N14" s="128">
        <f>((D18+E18+F18+H18-K18)/D24)</f>
        <v>0.15643420539978337</v>
      </c>
      <c r="O14" s="128"/>
      <c r="P14" s="128"/>
      <c r="Q14" s="128"/>
      <c r="X14">
        <v>954318658.68513811</v>
      </c>
    </row>
    <row r="15" spans="1:24" ht="14.25" x14ac:dyDescent="0.2">
      <c r="A15" s="90"/>
      <c r="B15" s="91"/>
      <c r="C15" s="92"/>
      <c r="D15" s="98"/>
      <c r="E15" s="98"/>
      <c r="F15" s="99"/>
      <c r="G15" s="101"/>
      <c r="H15" s="104"/>
      <c r="I15" s="105"/>
      <c r="J15" s="101"/>
      <c r="K15" s="108"/>
      <c r="L15" s="109"/>
      <c r="M15" s="126"/>
      <c r="N15" s="129"/>
      <c r="O15" s="129"/>
      <c r="P15" s="129"/>
      <c r="Q15" s="129"/>
      <c r="X15">
        <v>951758430.94471002</v>
      </c>
    </row>
    <row r="16" spans="1:24" ht="14.25" x14ac:dyDescent="0.2">
      <c r="A16" s="90"/>
      <c r="B16" s="91"/>
      <c r="C16" s="92"/>
      <c r="D16" s="131" t="s">
        <v>2</v>
      </c>
      <c r="E16" s="116" t="s">
        <v>4</v>
      </c>
      <c r="F16" s="115" t="s">
        <v>126</v>
      </c>
      <c r="G16" s="101"/>
      <c r="H16" s="123" t="s">
        <v>127</v>
      </c>
      <c r="I16" s="124"/>
      <c r="J16" s="101"/>
      <c r="K16" s="108"/>
      <c r="L16" s="109"/>
      <c r="M16" s="126"/>
      <c r="N16" s="129"/>
      <c r="O16" s="129"/>
      <c r="P16" s="129"/>
      <c r="Q16" s="129"/>
      <c r="V16">
        <v>36850.599793002664</v>
      </c>
      <c r="X16">
        <f>X15-X14</f>
        <v>-2560227.7404280901</v>
      </c>
    </row>
    <row r="17" spans="1:24" ht="14.25" x14ac:dyDescent="0.2">
      <c r="A17" s="90"/>
      <c r="B17" s="91"/>
      <c r="C17" s="92"/>
      <c r="D17" s="116"/>
      <c r="E17" s="116"/>
      <c r="F17" s="115"/>
      <c r="G17" s="101"/>
      <c r="H17" s="123"/>
      <c r="I17" s="124"/>
      <c r="J17" s="101"/>
      <c r="K17" s="108"/>
      <c r="L17" s="109"/>
      <c r="M17" s="126"/>
      <c r="N17" s="129"/>
      <c r="O17" s="129"/>
      <c r="P17" s="129"/>
      <c r="Q17" s="129"/>
      <c r="V17">
        <v>36856.584128171293</v>
      </c>
      <c r="X17">
        <f>X16/X15</f>
        <v>-2.6899974375712362E-3</v>
      </c>
    </row>
    <row r="18" spans="1:24" ht="14.25" x14ac:dyDescent="0.2">
      <c r="A18" s="90"/>
      <c r="B18" s="91"/>
      <c r="C18" s="92"/>
      <c r="D18" s="21">
        <f>D6</f>
        <v>176964480</v>
      </c>
      <c r="E18" s="21">
        <f>E6</f>
        <v>34338000</v>
      </c>
      <c r="F18" s="22">
        <f>F6</f>
        <v>42661417.242542952</v>
      </c>
      <c r="G18" s="101"/>
      <c r="H18" s="79">
        <f>H6</f>
        <v>61184120.679999985</v>
      </c>
      <c r="I18" s="80"/>
      <c r="J18" s="101"/>
      <c r="K18" s="81">
        <f>0.05*(D18+E18)</f>
        <v>10565124</v>
      </c>
      <c r="L18" s="132"/>
      <c r="M18" s="126"/>
      <c r="N18" s="129"/>
      <c r="O18" s="129"/>
      <c r="P18" s="129"/>
      <c r="Q18" s="129"/>
      <c r="V18">
        <f>V16-V17</f>
        <v>-5.9843351686286042</v>
      </c>
    </row>
    <row r="19" spans="1:24" ht="33" x14ac:dyDescent="0.2">
      <c r="A19" s="90"/>
      <c r="B19" s="91"/>
      <c r="C19" s="92"/>
      <c r="D19" s="133" t="s">
        <v>128</v>
      </c>
      <c r="E19" s="133"/>
      <c r="F19" s="133"/>
      <c r="G19" s="133"/>
      <c r="H19" s="133"/>
      <c r="I19" s="133"/>
      <c r="J19" s="133"/>
      <c r="K19" s="133"/>
      <c r="L19" s="133"/>
      <c r="M19" s="126"/>
      <c r="N19" s="129"/>
      <c r="O19" s="129"/>
      <c r="P19" s="129"/>
      <c r="Q19" s="129"/>
    </row>
    <row r="20" spans="1:24" ht="14.25" x14ac:dyDescent="0.2">
      <c r="A20" s="90"/>
      <c r="B20" s="91"/>
      <c r="C20" s="92"/>
      <c r="D20" s="118" t="s">
        <v>123</v>
      </c>
      <c r="E20" s="118"/>
      <c r="F20" s="118"/>
      <c r="G20" s="118"/>
      <c r="H20" s="118"/>
      <c r="I20" s="118"/>
      <c r="J20" s="118"/>
      <c r="K20" s="118"/>
      <c r="L20" s="118"/>
      <c r="M20" s="126"/>
      <c r="N20" s="129"/>
      <c r="O20" s="129"/>
      <c r="P20" s="129"/>
      <c r="Q20" s="129"/>
      <c r="U20">
        <f>X14*0.8-330446764</f>
        <v>433008162.94811058</v>
      </c>
    </row>
    <row r="21" spans="1:24" ht="14.25" x14ac:dyDescent="0.2">
      <c r="A21" s="90"/>
      <c r="B21" s="91"/>
      <c r="C21" s="92"/>
      <c r="D21" s="121"/>
      <c r="E21" s="121"/>
      <c r="F21" s="121"/>
      <c r="G21" s="121"/>
      <c r="H21" s="121"/>
      <c r="I21" s="121"/>
      <c r="J21" s="121"/>
      <c r="K21" s="121"/>
      <c r="L21" s="121"/>
      <c r="M21" s="126"/>
      <c r="N21" s="129"/>
      <c r="O21" s="129"/>
      <c r="P21" s="129"/>
      <c r="Q21" s="129"/>
      <c r="U21">
        <f>X15*0.8-331306107</f>
        <v>430100637.75576806</v>
      </c>
    </row>
    <row r="22" spans="1:24" ht="14.25" x14ac:dyDescent="0.2">
      <c r="A22" s="90"/>
      <c r="B22" s="91"/>
      <c r="C22" s="92"/>
      <c r="D22" s="121"/>
      <c r="E22" s="121"/>
      <c r="F22" s="121"/>
      <c r="G22" s="121"/>
      <c r="H22" s="121"/>
      <c r="I22" s="121"/>
      <c r="J22" s="121"/>
      <c r="K22" s="121"/>
      <c r="L22" s="121"/>
      <c r="M22" s="126"/>
      <c r="N22" s="129"/>
      <c r="O22" s="129"/>
      <c r="P22" s="129"/>
      <c r="Q22" s="129"/>
      <c r="U22">
        <f>U20-U21</f>
        <v>2907525.1923425198</v>
      </c>
    </row>
    <row r="23" spans="1:24" ht="14.25" x14ac:dyDescent="0.2">
      <c r="A23" s="90"/>
      <c r="B23" s="91"/>
      <c r="C23" s="92"/>
      <c r="D23" s="121"/>
      <c r="E23" s="121"/>
      <c r="F23" s="121"/>
      <c r="G23" s="121"/>
      <c r="H23" s="121"/>
      <c r="I23" s="121"/>
      <c r="J23" s="121"/>
      <c r="K23" s="121"/>
      <c r="L23" s="121"/>
      <c r="M23" s="126"/>
      <c r="N23" s="129"/>
      <c r="O23" s="129"/>
      <c r="P23" s="129"/>
      <c r="Q23" s="129"/>
      <c r="U23">
        <f>U22/100000000</f>
        <v>2.9075251923425197E-2</v>
      </c>
    </row>
    <row r="24" spans="1:24" ht="14.25" x14ac:dyDescent="0.2">
      <c r="A24" s="93"/>
      <c r="B24" s="94"/>
      <c r="C24" s="95"/>
      <c r="D24" s="85">
        <f>D12</f>
        <v>1947035133.0398021</v>
      </c>
      <c r="E24" s="85"/>
      <c r="F24" s="85"/>
      <c r="G24" s="85"/>
      <c r="H24" s="85"/>
      <c r="I24" s="85"/>
      <c r="J24" s="85"/>
      <c r="K24" s="85"/>
      <c r="L24" s="85"/>
      <c r="M24" s="127"/>
      <c r="N24" s="130"/>
      <c r="O24" s="130"/>
      <c r="P24" s="130"/>
      <c r="Q24" s="130"/>
    </row>
    <row r="26" spans="1:24" x14ac:dyDescent="0.2">
      <c r="F26" s="1">
        <v>314</v>
      </c>
      <c r="G26" s="1" t="s">
        <v>283</v>
      </c>
      <c r="S26">
        <v>0.52085382165769523</v>
      </c>
    </row>
    <row r="27" spans="1:24" x14ac:dyDescent="0.2">
      <c r="D27" s="1" t="s">
        <v>279</v>
      </c>
      <c r="E27" s="1">
        <f>SUM(D6:F6)</f>
        <v>253963897.24254295</v>
      </c>
      <c r="F27" s="1">
        <v>121922147.53878233</v>
      </c>
      <c r="G27" s="1">
        <v>127533155.37878233</v>
      </c>
      <c r="H27" s="1">
        <f>G27-F27</f>
        <v>5611007.8400000036</v>
      </c>
      <c r="I27" s="1">
        <f>H27/F27</f>
        <v>4.6021235298658043E-2</v>
      </c>
      <c r="S27">
        <v>0.50454249228059211</v>
      </c>
    </row>
    <row r="28" spans="1:24" x14ac:dyDescent="0.2">
      <c r="D28" s="1" t="s">
        <v>280</v>
      </c>
      <c r="E28" s="1">
        <f>E27/10000</f>
        <v>25396.389724254295</v>
      </c>
      <c r="F28" s="1">
        <v>42498760.948799998</v>
      </c>
      <c r="G28" s="1">
        <v>42667091.184000015</v>
      </c>
      <c r="H28" s="1">
        <f>G28-F28</f>
        <v>168330.23520001769</v>
      </c>
      <c r="I28" s="69">
        <f>H28/F28</f>
        <v>3.9608268909959998E-3</v>
      </c>
      <c r="S28">
        <f>S26-S27</f>
        <v>1.6311329377103112E-2</v>
      </c>
    </row>
    <row r="29" spans="1:24" x14ac:dyDescent="0.2">
      <c r="C29" s="8">
        <f>D6+E6</f>
        <v>211302480</v>
      </c>
      <c r="D29" s="1" t="s">
        <v>281</v>
      </c>
      <c r="F29" s="1">
        <v>331306107.56490147</v>
      </c>
      <c r="G29" s="1">
        <v>348210575.60347599</v>
      </c>
      <c r="H29" s="69">
        <f>G29-F29</f>
        <v>16904468.038574517</v>
      </c>
      <c r="I29" s="69">
        <f>H29/F29</f>
        <v>5.1023713878450012E-2</v>
      </c>
      <c r="S29">
        <f>S28/S26</f>
        <v>3.1316520487821069E-2</v>
      </c>
    </row>
    <row r="30" spans="1:24" x14ac:dyDescent="0.2">
      <c r="C30" s="8">
        <f>C29/400/1000/1000</f>
        <v>0.52825619999999995</v>
      </c>
      <c r="D30" s="1" t="s">
        <v>282</v>
      </c>
      <c r="F30" s="1">
        <v>951758430.94471002</v>
      </c>
      <c r="G30" s="1">
        <v>1000320680.8066355</v>
      </c>
      <c r="H30" s="69">
        <f>G30-F30</f>
        <v>48562249.861925483</v>
      </c>
      <c r="I30" s="69">
        <f>H30/F30</f>
        <v>5.1023713878450089E-2</v>
      </c>
      <c r="J30" s="1">
        <f>G30*0.8-G29-F30*0.8+F29</f>
        <v>21945331.850965917</v>
      </c>
    </row>
    <row r="31" spans="1:24" x14ac:dyDescent="0.2">
      <c r="E31" s="1">
        <f>H6/10000</f>
        <v>6118.4120679999987</v>
      </c>
      <c r="F31" s="1">
        <v>0.52085382165769523</v>
      </c>
      <c r="G31" s="1">
        <v>0.51824463105993557</v>
      </c>
      <c r="H31" s="69">
        <f>G31-F31</f>
        <v>-2.6091905977596586E-3</v>
      </c>
      <c r="I31" s="69">
        <f>H31/F31</f>
        <v>-5.0094488880882528E-3</v>
      </c>
      <c r="J31" s="1">
        <f>J30/100000000</f>
        <v>0.21945331850965918</v>
      </c>
    </row>
    <row r="33" spans="5:5" x14ac:dyDescent="0.2">
      <c r="E33" s="1">
        <f>K6/10000</f>
        <v>22472.97774240806</v>
      </c>
    </row>
    <row r="34" spans="5:5" x14ac:dyDescent="0.2">
      <c r="E34" s="1">
        <f>D12/10000</f>
        <v>194703.5133039802</v>
      </c>
    </row>
  </sheetData>
  <mergeCells count="35">
    <mergeCell ref="M14:M24"/>
    <mergeCell ref="N14:Q24"/>
    <mergeCell ref="D16:D17"/>
    <mergeCell ref="E16:E17"/>
    <mergeCell ref="F16:F17"/>
    <mergeCell ref="H16:I17"/>
    <mergeCell ref="H18:I18"/>
    <mergeCell ref="K18:L18"/>
    <mergeCell ref="D19:L19"/>
    <mergeCell ref="D20:L23"/>
    <mergeCell ref="D24:L24"/>
    <mergeCell ref="A2:C12"/>
    <mergeCell ref="D12:L12"/>
    <mergeCell ref="A14:C24"/>
    <mergeCell ref="D14:F15"/>
    <mergeCell ref="G14:G18"/>
    <mergeCell ref="H14:I15"/>
    <mergeCell ref="J14:J18"/>
    <mergeCell ref="K14:L17"/>
    <mergeCell ref="A13:Q13"/>
    <mergeCell ref="D2:F3"/>
    <mergeCell ref="D4:D5"/>
    <mergeCell ref="F4:F5"/>
    <mergeCell ref="E4:E5"/>
    <mergeCell ref="D8:L11"/>
    <mergeCell ref="H2:I3"/>
    <mergeCell ref="H4:I5"/>
    <mergeCell ref="D7:L7"/>
    <mergeCell ref="K2:L5"/>
    <mergeCell ref="M2:M12"/>
    <mergeCell ref="N2:Q12"/>
    <mergeCell ref="H6:I6"/>
    <mergeCell ref="K6:L6"/>
    <mergeCell ref="G2:G6"/>
    <mergeCell ref="J2:J6"/>
  </mergeCells>
  <phoneticPr fontId="1" type="noConversion"/>
  <hyperlinks>
    <hyperlink ref="D4:D5" location="直流侧成本构成!A1" display="直流侧成本"/>
    <hyperlink ref="E4:E5" location="交流侧成本构成!A1" display="交流侧成本"/>
    <hyperlink ref="F4:F5" location="施工耗材基建成本构成!A1" display="施工基建成本"/>
    <hyperlink ref="H4:I5" location="运营期间费用构成!A1" display="运维成本"/>
    <hyperlink ref="K2:L5" location="累计充电电费及累计放电量!A1" display="累计充电电费"/>
    <hyperlink ref="D8:L11" location="累计充电电费及累计放电量!A1" display="累计放电电量"/>
    <hyperlink ref="D16:D17" location="直流侧成本构成!A1" display="直流侧成本"/>
    <hyperlink ref="E16:E17" location="交流侧成本构成!A1" display="交流侧成本"/>
    <hyperlink ref="F16:F17" location="施工耗材基建成本构成!A1" display="施工基建成本"/>
    <hyperlink ref="H16:I17" location="运营期间费用构成!A1" display="运维成本"/>
    <hyperlink ref="D20:L23" location="累计充电电费及累计放电量!A1" display="累计放电电量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activeCell="I31" sqref="I31"/>
    </sheetView>
  </sheetViews>
  <sheetFormatPr defaultRowHeight="14.25" x14ac:dyDescent="0.2"/>
  <cols>
    <col min="7" max="7" width="13.125" customWidth="1"/>
    <col min="8" max="8" width="22.25" customWidth="1"/>
    <col min="13" max="13" width="21.5" customWidth="1"/>
    <col min="15" max="15" width="11.625" bestFit="1" customWidth="1"/>
    <col min="16" max="16" width="11" customWidth="1"/>
  </cols>
  <sheetData>
    <row r="1" spans="1:19" x14ac:dyDescent="0.2">
      <c r="A1" s="134" t="s">
        <v>211</v>
      </c>
      <c r="B1" s="134"/>
      <c r="C1" s="134"/>
      <c r="D1" s="135" t="s">
        <v>231</v>
      </c>
      <c r="E1" s="135"/>
      <c r="F1" s="135"/>
      <c r="G1" s="1" t="s">
        <v>214</v>
      </c>
      <c r="H1" s="44" t="s">
        <v>212</v>
      </c>
      <c r="P1" t="s">
        <v>233</v>
      </c>
    </row>
    <row r="2" spans="1:19" x14ac:dyDescent="0.2">
      <c r="A2" s="136" t="s">
        <v>293</v>
      </c>
      <c r="B2" s="136"/>
      <c r="C2" s="136"/>
      <c r="D2" s="137">
        <f>G2*Q2</f>
        <v>176964480</v>
      </c>
      <c r="E2" s="137"/>
      <c r="F2" s="137"/>
      <c r="G2" s="1">
        <f>IF(A2=M2,64,IF(A2=M3,64,IF(A2=M4,68,IF(A2=M5,60,IF(A2=M6,58,IF(A2=M7,80,IF(A2=M8,80)))))))</f>
        <v>80</v>
      </c>
      <c r="H2" s="1">
        <v>6</v>
      </c>
      <c r="K2">
        <f>200/6.9</f>
        <v>28.985507246376809</v>
      </c>
      <c r="M2" t="s">
        <v>213</v>
      </c>
      <c r="N2">
        <f>IF(A2=M2,7320,IF(A2=M3,7200,IF(A2=M4,7626,IF(A2=M5,6900,IF(A2=M6,6870,IF(A2=M7,8600,IF(A2=M8,8600)))))))</f>
        <v>8600</v>
      </c>
      <c r="P2" s="53">
        <f>323.84*6250*1.13</f>
        <v>2287119.9999999995</v>
      </c>
      <c r="Q2">
        <f>IF(A2=M2,P2,IF(A2=M3,P3,IF(A2=M4,P4,IF(A2=M5,P5,IF(A2=M6,P6,IF(A2=M7,P7,IF(A2=M8,P8)))))))</f>
        <v>2212056</v>
      </c>
      <c r="R2" s="48">
        <f>SQRT(S2)</f>
        <v>0.97467943448089633</v>
      </c>
      <c r="S2" s="48">
        <v>0.95</v>
      </c>
    </row>
    <row r="3" spans="1:19" x14ac:dyDescent="0.2">
      <c r="M3" t="s">
        <v>230</v>
      </c>
      <c r="N3" s="53">
        <f>IF(A2=M2,220000,IF(A2=M3,220000,IF(A2=M4,210000,IF(A2=M5,240000,IF(A2=M6,240000,IF(A2=M7,170000,IF(A2=M8,170000)))))))</f>
        <v>170000</v>
      </c>
      <c r="P3" s="53">
        <f>305.06*6260*1.13</f>
        <v>2157933.4279999998</v>
      </c>
      <c r="R3" s="48">
        <f t="shared" ref="R3:R7" si="0">SQRT(S3)</f>
        <v>0.97159662411928949</v>
      </c>
      <c r="S3" s="48">
        <v>0.94399999999999995</v>
      </c>
    </row>
    <row r="4" spans="1:19" x14ac:dyDescent="0.2">
      <c r="G4" t="s">
        <v>215</v>
      </c>
      <c r="M4" t="s">
        <v>218</v>
      </c>
      <c r="N4" s="54">
        <f>IF(A2=M2,290000,IF(A2=M3,290000,IF(A2=M4,270000,IF(A2=M5,300000,IF(A2=M6,320000,IF(A2=M7,220000,IF(A2=M8,220000)))))))</f>
        <v>220000</v>
      </c>
      <c r="P4" s="53">
        <f>320.63*6000*1.13</f>
        <v>2173871.4</v>
      </c>
      <c r="R4" s="48">
        <f t="shared" si="0"/>
        <v>0.97211110476117901</v>
      </c>
      <c r="S4" s="48">
        <v>0.94499999999999995</v>
      </c>
    </row>
    <row r="5" spans="1:19" x14ac:dyDescent="0.2">
      <c r="G5">
        <f>N2</f>
        <v>8600</v>
      </c>
      <c r="M5" t="s">
        <v>220</v>
      </c>
      <c r="N5">
        <f>IF(A2=M2,R2,IF(A2=M3,R3,IF(A2=M4,R4,IF(A2=M5,R5,IF(A2=M6,R6,IF(A2=M7,R7,IF(A2=M8,R8)))))))</f>
        <v>0.97467943448089633</v>
      </c>
      <c r="P5" s="53">
        <f>310.36*6680*1.13</f>
        <v>2342721.4239999996</v>
      </c>
      <c r="R5" s="48">
        <f t="shared" si="0"/>
        <v>0.97211110476117901</v>
      </c>
      <c r="S5" s="48">
        <v>0.94499999999999995</v>
      </c>
    </row>
    <row r="6" spans="1:19" x14ac:dyDescent="0.2">
      <c r="M6" t="s">
        <v>222</v>
      </c>
      <c r="P6" s="53">
        <f>310.04*6900*1.13</f>
        <v>2417381.88</v>
      </c>
      <c r="R6" s="48">
        <f t="shared" si="0"/>
        <v>0.97159662411928949</v>
      </c>
      <c r="S6" s="48">
        <v>0.94399999999999995</v>
      </c>
    </row>
    <row r="7" spans="1:19" x14ac:dyDescent="0.2">
      <c r="G7" t="s">
        <v>216</v>
      </c>
      <c r="M7" t="s">
        <v>270</v>
      </c>
      <c r="P7">
        <f>N11</f>
        <v>1986335.9999999998</v>
      </c>
      <c r="R7" s="48">
        <f t="shared" si="0"/>
        <v>0.97211110476117901</v>
      </c>
      <c r="S7" s="48">
        <v>0.94499999999999995</v>
      </c>
    </row>
    <row r="8" spans="1:19" x14ac:dyDescent="0.2">
      <c r="G8" s="48">
        <f>N5</f>
        <v>0.97467943448089633</v>
      </c>
      <c r="K8">
        <f>127.25*30.46</f>
        <v>3876.0350000000003</v>
      </c>
      <c r="M8" t="s">
        <v>275</v>
      </c>
      <c r="P8">
        <f>O10</f>
        <v>2212056</v>
      </c>
      <c r="R8" s="48">
        <f t="shared" ref="R8" si="1">SQRT(S8)</f>
        <v>0.97467943448089633</v>
      </c>
      <c r="S8" s="48">
        <v>0.95</v>
      </c>
    </row>
    <row r="10" spans="1:19" x14ac:dyDescent="0.2">
      <c r="H10">
        <f>P2/6250/1000</f>
        <v>0.36593919999999991</v>
      </c>
      <c r="N10">
        <f>0.291+0.105</f>
        <v>0.39599999999999996</v>
      </c>
      <c r="O10">
        <f>(0.336+0.105)*5016*1000</f>
        <v>2212056</v>
      </c>
    </row>
    <row r="11" spans="1:19" x14ac:dyDescent="0.2">
      <c r="H11">
        <v>8.2900000000000001E-2</v>
      </c>
      <c r="N11">
        <f>N10*5016*1000</f>
        <v>1986335.9999999998</v>
      </c>
      <c r="P11">
        <f>P7/5016</f>
        <v>395.99999999999994</v>
      </c>
    </row>
    <row r="12" spans="1:19" x14ac:dyDescent="0.2">
      <c r="H12">
        <f>SUM(H10:H11)</f>
        <v>0.44883919999999988</v>
      </c>
      <c r="P12">
        <f>P11-100</f>
        <v>295.99999999999994</v>
      </c>
    </row>
  </sheetData>
  <mergeCells count="4">
    <mergeCell ref="A1:C1"/>
    <mergeCell ref="D1:F1"/>
    <mergeCell ref="A2:C2"/>
    <mergeCell ref="D2:F2"/>
  </mergeCells>
  <phoneticPr fontId="1" type="noConversion"/>
  <dataValidations count="1">
    <dataValidation type="list" allowBlank="1" showInputMessage="1" showErrorMessage="1" sqref="A2:C2">
      <formula1>"CALB392-6.25,CATL588-6.26,CATL565-6,640A-6.68,中车648-6.9,CALB314-5.0,CALB314B-5.0"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23"/>
  <sheetViews>
    <sheetView workbookViewId="0">
      <selection activeCell="E5" sqref="E5:E9"/>
    </sheetView>
  </sheetViews>
  <sheetFormatPr defaultRowHeight="14.25" x14ac:dyDescent="0.2"/>
  <cols>
    <col min="1" max="1" width="8.625" style="1" customWidth="1"/>
    <col min="2" max="2" width="19.375" style="1" customWidth="1"/>
    <col min="3" max="4" width="12.25" style="1" customWidth="1"/>
    <col min="5" max="5" width="17.25" style="1" customWidth="1"/>
    <col min="6" max="6" width="15.125" style="1" customWidth="1"/>
    <col min="7" max="12" width="8.875" style="1"/>
  </cols>
  <sheetData>
    <row r="1" spans="1:8" x14ac:dyDescent="0.2">
      <c r="A1" s="138" t="s">
        <v>4</v>
      </c>
      <c r="B1" s="139"/>
      <c r="C1" s="140"/>
      <c r="D1" s="141">
        <f>F3+F10+F17+F22</f>
        <v>34338000</v>
      </c>
      <c r="E1" s="142"/>
      <c r="F1" s="143"/>
      <c r="G1" s="1" t="s">
        <v>203</v>
      </c>
    </row>
    <row r="2" spans="1:8" x14ac:dyDescent="0.2">
      <c r="A2" s="3" t="s">
        <v>0</v>
      </c>
      <c r="B2" s="3" t="s">
        <v>1</v>
      </c>
      <c r="C2" s="3" t="s">
        <v>3</v>
      </c>
      <c r="D2" s="3" t="s">
        <v>41</v>
      </c>
      <c r="E2" s="3" t="s">
        <v>71</v>
      </c>
      <c r="F2" s="3" t="s">
        <v>72</v>
      </c>
    </row>
    <row r="3" spans="1:8" x14ac:dyDescent="0.2">
      <c r="A3" s="5">
        <v>1</v>
      </c>
      <c r="B3" s="5" t="s">
        <v>5</v>
      </c>
      <c r="C3" s="35">
        <f>直流侧成本构成!G2/2</f>
        <v>40</v>
      </c>
      <c r="D3" s="5" t="s">
        <v>42</v>
      </c>
      <c r="E3" s="5">
        <f>F4+F5+F6+F7+F8+F9</f>
        <v>830000</v>
      </c>
      <c r="F3" s="26">
        <f>C3*E3</f>
        <v>33200000</v>
      </c>
    </row>
    <row r="4" spans="1:8" x14ac:dyDescent="0.2">
      <c r="A4" s="3">
        <v>1.1000000000000001</v>
      </c>
      <c r="B4" s="55" t="s">
        <v>44</v>
      </c>
      <c r="C4" s="24">
        <v>2</v>
      </c>
      <c r="D4" s="3" t="s">
        <v>43</v>
      </c>
      <c r="E4" s="41">
        <f>直流侧成本构成!N3</f>
        <v>170000</v>
      </c>
      <c r="F4" s="26">
        <f>C4*E4</f>
        <v>340000</v>
      </c>
      <c r="H4" s="1">
        <f>D1/200/1000/1000</f>
        <v>0.17169000000000001</v>
      </c>
    </row>
    <row r="5" spans="1:8" x14ac:dyDescent="0.2">
      <c r="A5" s="3">
        <v>1.2</v>
      </c>
      <c r="B5" s="55" t="s">
        <v>6</v>
      </c>
      <c r="C5" s="24">
        <v>1</v>
      </c>
      <c r="D5" s="3" t="s">
        <v>43</v>
      </c>
      <c r="E5" s="41">
        <f>直流侧成本构成!N4</f>
        <v>220000</v>
      </c>
      <c r="F5" s="26">
        <f t="shared" ref="F5:F9" si="0">C5*E5</f>
        <v>220000</v>
      </c>
    </row>
    <row r="6" spans="1:8" x14ac:dyDescent="0.2">
      <c r="A6" s="3">
        <v>1.3</v>
      </c>
      <c r="B6" s="3" t="s">
        <v>7</v>
      </c>
      <c r="C6" s="24">
        <v>1</v>
      </c>
      <c r="D6" s="3" t="s">
        <v>43</v>
      </c>
      <c r="E6" s="41">
        <v>40000</v>
      </c>
      <c r="F6" s="26">
        <f t="shared" si="0"/>
        <v>40000</v>
      </c>
    </row>
    <row r="7" spans="1:8" x14ac:dyDescent="0.2">
      <c r="A7" s="3">
        <v>1.4</v>
      </c>
      <c r="B7" s="3" t="s">
        <v>8</v>
      </c>
      <c r="C7" s="24">
        <v>1</v>
      </c>
      <c r="D7" s="3" t="s">
        <v>43</v>
      </c>
      <c r="E7" s="41">
        <v>80000</v>
      </c>
      <c r="F7" s="26">
        <f t="shared" si="0"/>
        <v>80000</v>
      </c>
    </row>
    <row r="8" spans="1:8" x14ac:dyDescent="0.2">
      <c r="A8" s="3">
        <v>1.5</v>
      </c>
      <c r="B8" s="3" t="s">
        <v>9</v>
      </c>
      <c r="C8" s="24">
        <v>1</v>
      </c>
      <c r="D8" s="3" t="s">
        <v>43</v>
      </c>
      <c r="E8" s="41">
        <v>20000</v>
      </c>
      <c r="F8" s="26">
        <f t="shared" si="0"/>
        <v>20000</v>
      </c>
    </row>
    <row r="9" spans="1:8" x14ac:dyDescent="0.2">
      <c r="A9" s="3">
        <v>1.6</v>
      </c>
      <c r="B9" s="3" t="s">
        <v>10</v>
      </c>
      <c r="C9" s="24">
        <v>1</v>
      </c>
      <c r="D9" s="3" t="s">
        <v>45</v>
      </c>
      <c r="E9" s="41">
        <v>130000</v>
      </c>
      <c r="F9" s="26">
        <f t="shared" si="0"/>
        <v>130000</v>
      </c>
    </row>
    <row r="10" spans="1:8" x14ac:dyDescent="0.2">
      <c r="A10" s="5">
        <v>2</v>
      </c>
      <c r="B10" s="5" t="s">
        <v>11</v>
      </c>
      <c r="C10" s="11">
        <v>2</v>
      </c>
      <c r="D10" s="5" t="s">
        <v>45</v>
      </c>
      <c r="E10" s="5">
        <f>F11+F12+F13+F14+F15+F16</f>
        <v>542000</v>
      </c>
      <c r="F10" s="26">
        <f>C10*E10</f>
        <v>1084000</v>
      </c>
    </row>
    <row r="11" spans="1:8" x14ac:dyDescent="0.2">
      <c r="A11" s="3">
        <v>2.1</v>
      </c>
      <c r="B11" s="3" t="s">
        <v>12</v>
      </c>
      <c r="C11" s="24">
        <v>2</v>
      </c>
      <c r="D11" s="23" t="s">
        <v>46</v>
      </c>
      <c r="E11" s="41">
        <v>100000</v>
      </c>
      <c r="F11" s="26">
        <f>C11*E11</f>
        <v>200000</v>
      </c>
    </row>
    <row r="12" spans="1:8" x14ac:dyDescent="0.2">
      <c r="A12" s="3">
        <v>2.2000000000000002</v>
      </c>
      <c r="B12" s="3" t="s">
        <v>13</v>
      </c>
      <c r="C12" s="24">
        <v>4</v>
      </c>
      <c r="D12" s="23" t="s">
        <v>47</v>
      </c>
      <c r="E12" s="41">
        <v>2000</v>
      </c>
      <c r="F12" s="26">
        <f t="shared" ref="F12:F16" si="1">C12*E12</f>
        <v>8000</v>
      </c>
    </row>
    <row r="13" spans="1:8" x14ac:dyDescent="0.2">
      <c r="A13" s="3">
        <v>2.2999999999999998</v>
      </c>
      <c r="B13" s="3" t="s">
        <v>14</v>
      </c>
      <c r="C13" s="24">
        <v>2</v>
      </c>
      <c r="D13" s="23" t="s">
        <v>48</v>
      </c>
      <c r="E13" s="41">
        <v>40000</v>
      </c>
      <c r="F13" s="26">
        <f t="shared" si="1"/>
        <v>80000</v>
      </c>
    </row>
    <row r="14" spans="1:8" x14ac:dyDescent="0.2">
      <c r="A14" s="3">
        <v>2.4</v>
      </c>
      <c r="B14" s="3" t="s">
        <v>15</v>
      </c>
      <c r="C14" s="24">
        <v>2</v>
      </c>
      <c r="D14" s="23" t="s">
        <v>49</v>
      </c>
      <c r="E14" s="41">
        <v>120000</v>
      </c>
      <c r="F14" s="26">
        <f t="shared" si="1"/>
        <v>240000</v>
      </c>
    </row>
    <row r="15" spans="1:8" x14ac:dyDescent="0.2">
      <c r="A15" s="3">
        <v>2.5</v>
      </c>
      <c r="B15" s="3" t="s">
        <v>16</v>
      </c>
      <c r="C15" s="24">
        <v>2</v>
      </c>
      <c r="D15" s="23" t="s">
        <v>43</v>
      </c>
      <c r="E15" s="41">
        <v>4000</v>
      </c>
      <c r="F15" s="26">
        <f t="shared" si="1"/>
        <v>8000</v>
      </c>
    </row>
    <row r="16" spans="1:8" x14ac:dyDescent="0.2">
      <c r="A16" s="3">
        <v>2.6</v>
      </c>
      <c r="B16" s="3" t="s">
        <v>17</v>
      </c>
      <c r="C16" s="24">
        <v>2</v>
      </c>
      <c r="D16" s="23" t="s">
        <v>45</v>
      </c>
      <c r="E16" s="41">
        <v>3000</v>
      </c>
      <c r="F16" s="26">
        <f t="shared" si="1"/>
        <v>6000</v>
      </c>
    </row>
    <row r="17" spans="1:6" x14ac:dyDescent="0.2">
      <c r="A17" s="17">
        <v>3</v>
      </c>
      <c r="B17" s="17" t="s">
        <v>162</v>
      </c>
      <c r="C17" s="18">
        <v>2</v>
      </c>
      <c r="D17" s="18" t="s">
        <v>164</v>
      </c>
      <c r="E17" s="18"/>
      <c r="F17" s="27">
        <f>SUM(F18:F21)</f>
        <v>49000</v>
      </c>
    </row>
    <row r="18" spans="1:6" x14ac:dyDescent="0.2">
      <c r="A18" s="12">
        <v>3.1</v>
      </c>
      <c r="B18" s="12" t="s">
        <v>165</v>
      </c>
      <c r="C18" s="24">
        <v>3</v>
      </c>
      <c r="D18" s="23" t="s">
        <v>172</v>
      </c>
      <c r="E18" s="41">
        <v>5000</v>
      </c>
      <c r="F18" s="26">
        <f>C18*E18</f>
        <v>15000</v>
      </c>
    </row>
    <row r="19" spans="1:6" x14ac:dyDescent="0.2">
      <c r="A19" s="12">
        <v>3.2</v>
      </c>
      <c r="B19" s="12" t="s">
        <v>166</v>
      </c>
      <c r="C19" s="24">
        <v>3</v>
      </c>
      <c r="D19" s="23" t="s">
        <v>172</v>
      </c>
      <c r="E19" s="41">
        <v>3000</v>
      </c>
      <c r="F19" s="26">
        <f t="shared" ref="F19:F21" si="2">C19*E19</f>
        <v>9000</v>
      </c>
    </row>
    <row r="20" spans="1:6" x14ac:dyDescent="0.2">
      <c r="A20" s="12">
        <v>3.3</v>
      </c>
      <c r="B20" s="12" t="s">
        <v>167</v>
      </c>
      <c r="C20" s="24">
        <v>3</v>
      </c>
      <c r="D20" s="23" t="s">
        <v>172</v>
      </c>
      <c r="E20" s="41">
        <v>3000</v>
      </c>
      <c r="F20" s="26">
        <f t="shared" si="2"/>
        <v>9000</v>
      </c>
    </row>
    <row r="21" spans="1:6" x14ac:dyDescent="0.2">
      <c r="A21" s="12">
        <v>3.4</v>
      </c>
      <c r="B21" s="12" t="s">
        <v>168</v>
      </c>
      <c r="C21" s="24">
        <f>C3*C4</f>
        <v>80</v>
      </c>
      <c r="D21" s="23" t="s">
        <v>172</v>
      </c>
      <c r="E21" s="41">
        <v>200</v>
      </c>
      <c r="F21" s="26">
        <f t="shared" si="2"/>
        <v>16000</v>
      </c>
    </row>
    <row r="22" spans="1:6" x14ac:dyDescent="0.2">
      <c r="A22" s="18">
        <v>4</v>
      </c>
      <c r="B22" s="18" t="s">
        <v>163</v>
      </c>
      <c r="C22" s="18">
        <v>1</v>
      </c>
      <c r="D22" s="18" t="s">
        <v>170</v>
      </c>
      <c r="E22" s="18"/>
      <c r="F22" s="27">
        <f>F23</f>
        <v>5000</v>
      </c>
    </row>
    <row r="23" spans="1:6" x14ac:dyDescent="0.2">
      <c r="A23" s="12">
        <v>4.0999999999999996</v>
      </c>
      <c r="B23" s="12" t="s">
        <v>169</v>
      </c>
      <c r="C23" s="24">
        <v>1</v>
      </c>
      <c r="D23" s="23" t="s">
        <v>171</v>
      </c>
      <c r="E23" s="41">
        <v>5000</v>
      </c>
      <c r="F23" s="26">
        <f>C23*E23</f>
        <v>5000</v>
      </c>
    </row>
  </sheetData>
  <mergeCells count="2">
    <mergeCell ref="A1:C1"/>
    <mergeCell ref="D1:F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48"/>
  <sheetViews>
    <sheetView workbookViewId="0">
      <selection activeCell="E6" sqref="E6"/>
    </sheetView>
  </sheetViews>
  <sheetFormatPr defaultRowHeight="14.25" x14ac:dyDescent="0.2"/>
  <cols>
    <col min="1" max="1" width="8.875" style="1"/>
    <col min="2" max="2" width="32.5" style="1" customWidth="1"/>
    <col min="3" max="4" width="8.875" style="1"/>
    <col min="5" max="5" width="15.5" style="1" customWidth="1"/>
    <col min="6" max="6" width="15.875" style="1" customWidth="1"/>
    <col min="7" max="9" width="8.875" style="1"/>
    <col min="10" max="10" width="11.625" hidden="1" customWidth="1"/>
  </cols>
  <sheetData>
    <row r="1" spans="1:10" x14ac:dyDescent="0.2">
      <c r="A1" s="138" t="s">
        <v>62</v>
      </c>
      <c r="B1" s="139"/>
      <c r="C1" s="140"/>
      <c r="D1" s="141">
        <f>F3+F4+F5+F14+F19+F44+F31+F37</f>
        <v>42661417.242542952</v>
      </c>
      <c r="E1" s="142"/>
      <c r="F1" s="143"/>
      <c r="G1" s="1" t="s">
        <v>204</v>
      </c>
    </row>
    <row r="2" spans="1:10" x14ac:dyDescent="0.2">
      <c r="A2" s="3" t="s">
        <v>18</v>
      </c>
      <c r="B2" s="3" t="s">
        <v>19</v>
      </c>
      <c r="C2" s="3" t="s">
        <v>20</v>
      </c>
      <c r="D2" s="3" t="s">
        <v>50</v>
      </c>
      <c r="E2" s="3" t="s">
        <v>69</v>
      </c>
      <c r="F2" s="3" t="s">
        <v>70</v>
      </c>
    </row>
    <row r="3" spans="1:10" x14ac:dyDescent="0.2">
      <c r="A3" s="5">
        <v>1</v>
      </c>
      <c r="B3" s="5" t="s">
        <v>66</v>
      </c>
      <c r="C3" s="5">
        <v>1</v>
      </c>
      <c r="D3" s="5" t="s">
        <v>73</v>
      </c>
      <c r="E3" s="24">
        <f>累计充电电费及累计放电量!J5*1000*3.5</f>
        <v>1400000</v>
      </c>
      <c r="F3" s="26">
        <f>C3*E3</f>
        <v>1400000</v>
      </c>
    </row>
    <row r="4" spans="1:10" x14ac:dyDescent="0.2">
      <c r="A4" s="5">
        <v>2</v>
      </c>
      <c r="B4" s="5" t="s">
        <v>67</v>
      </c>
      <c r="C4" s="5">
        <v>1</v>
      </c>
      <c r="D4" s="5" t="s">
        <v>74</v>
      </c>
      <c r="E4" s="24">
        <f>累计充电电费及累计放电量!J5*1000*2</f>
        <v>800000</v>
      </c>
      <c r="F4" s="26">
        <f>C4*E4</f>
        <v>800000</v>
      </c>
    </row>
    <row r="5" spans="1:10" x14ac:dyDescent="0.2">
      <c r="A5" s="5">
        <v>3</v>
      </c>
      <c r="B5" s="5" t="s">
        <v>27</v>
      </c>
      <c r="C5" s="5">
        <v>1</v>
      </c>
      <c r="D5" s="5" t="s">
        <v>51</v>
      </c>
      <c r="E5" s="5" t="s">
        <v>21</v>
      </c>
      <c r="F5" s="26">
        <f>SUM(F6:F13)</f>
        <v>3247800</v>
      </c>
    </row>
    <row r="6" spans="1:10" x14ac:dyDescent="0.2">
      <c r="A6" s="3">
        <v>3.1</v>
      </c>
      <c r="B6" s="25" t="s">
        <v>22</v>
      </c>
      <c r="C6" s="26">
        <f>7*直流侧成本构成!G2*直流侧成本构成!H2*2</f>
        <v>6720</v>
      </c>
      <c r="D6" s="25" t="s">
        <v>53</v>
      </c>
      <c r="E6" s="41">
        <v>420</v>
      </c>
      <c r="F6" s="26">
        <f>C6*E6</f>
        <v>2822400</v>
      </c>
      <c r="J6">
        <f>D1</f>
        <v>42661417.242542952</v>
      </c>
    </row>
    <row r="7" spans="1:10" x14ac:dyDescent="0.2">
      <c r="A7" s="31">
        <v>3.3</v>
      </c>
      <c r="B7" s="25" t="s">
        <v>23</v>
      </c>
      <c r="C7" s="26">
        <f>10*直流侧成本构成!G2</f>
        <v>800</v>
      </c>
      <c r="D7" s="25" t="s">
        <v>54</v>
      </c>
      <c r="E7" s="41">
        <v>120</v>
      </c>
      <c r="F7" s="26">
        <f t="shared" ref="F7:F13" si="0">C7*E7</f>
        <v>96000</v>
      </c>
      <c r="J7">
        <f>J6/100/1000/1000</f>
        <v>0.42661417242542948</v>
      </c>
    </row>
    <row r="8" spans="1:10" x14ac:dyDescent="0.2">
      <c r="A8" s="31">
        <v>3.4</v>
      </c>
      <c r="B8" s="25" t="s">
        <v>190</v>
      </c>
      <c r="C8" s="26">
        <f>直流侧成本构成!G2/10*100</f>
        <v>800</v>
      </c>
      <c r="D8" s="25" t="s">
        <v>205</v>
      </c>
      <c r="E8" s="41">
        <v>120</v>
      </c>
      <c r="F8" s="26">
        <f t="shared" si="0"/>
        <v>96000</v>
      </c>
    </row>
    <row r="9" spans="1:10" x14ac:dyDescent="0.2">
      <c r="A9" s="31">
        <v>3.5</v>
      </c>
      <c r="B9" s="25" t="s">
        <v>234</v>
      </c>
      <c r="C9" s="26">
        <f>30*直流侧成本构成!G2</f>
        <v>2400</v>
      </c>
      <c r="D9" s="25" t="s">
        <v>55</v>
      </c>
      <c r="E9" s="41">
        <v>12</v>
      </c>
      <c r="F9" s="26">
        <f t="shared" si="0"/>
        <v>28800</v>
      </c>
    </row>
    <row r="10" spans="1:10" x14ac:dyDescent="0.2">
      <c r="A10" s="31">
        <v>3.6</v>
      </c>
      <c r="B10" s="25" t="s">
        <v>25</v>
      </c>
      <c r="C10" s="26">
        <f>C7*2</f>
        <v>1600</v>
      </c>
      <c r="D10" s="25" t="s">
        <v>160</v>
      </c>
      <c r="E10" s="41">
        <v>6</v>
      </c>
      <c r="F10" s="26">
        <f t="shared" si="0"/>
        <v>9600</v>
      </c>
    </row>
    <row r="11" spans="1:10" x14ac:dyDescent="0.2">
      <c r="A11" s="31">
        <v>3.7</v>
      </c>
      <c r="B11" s="25" t="s">
        <v>24</v>
      </c>
      <c r="C11" s="24">
        <v>200</v>
      </c>
      <c r="D11" s="25" t="s">
        <v>53</v>
      </c>
      <c r="E11" s="41">
        <v>300</v>
      </c>
      <c r="F11" s="26">
        <f t="shared" si="0"/>
        <v>60000</v>
      </c>
    </row>
    <row r="12" spans="1:10" x14ac:dyDescent="0.2">
      <c r="A12" s="31">
        <v>3.8</v>
      </c>
      <c r="B12" s="25" t="s">
        <v>235</v>
      </c>
      <c r="C12" s="24">
        <v>1</v>
      </c>
      <c r="D12" s="25" t="s">
        <v>191</v>
      </c>
      <c r="E12" s="41">
        <v>130000</v>
      </c>
      <c r="F12" s="26">
        <f t="shared" si="0"/>
        <v>130000</v>
      </c>
    </row>
    <row r="13" spans="1:10" x14ac:dyDescent="0.2">
      <c r="A13" s="31">
        <v>3.9</v>
      </c>
      <c r="B13" s="25" t="s">
        <v>26</v>
      </c>
      <c r="C13" s="24">
        <v>1</v>
      </c>
      <c r="D13" s="25" t="s">
        <v>57</v>
      </c>
      <c r="E13" s="41">
        <v>5000</v>
      </c>
      <c r="F13" s="26">
        <f t="shared" si="0"/>
        <v>5000</v>
      </c>
    </row>
    <row r="14" spans="1:10" x14ac:dyDescent="0.2">
      <c r="A14" s="5">
        <v>4</v>
      </c>
      <c r="B14" s="5" t="s">
        <v>28</v>
      </c>
      <c r="C14" s="36">
        <v>1</v>
      </c>
      <c r="D14" s="5" t="s">
        <v>45</v>
      </c>
      <c r="E14" s="5"/>
      <c r="F14" s="26">
        <f>SUM(F15:F18)</f>
        <v>15720000</v>
      </c>
    </row>
    <row r="15" spans="1:10" x14ac:dyDescent="0.2">
      <c r="A15" s="3">
        <v>4.0999999999999996</v>
      </c>
      <c r="B15" s="25" t="s">
        <v>29</v>
      </c>
      <c r="C15" s="24">
        <v>8</v>
      </c>
      <c r="D15" s="23" t="s">
        <v>52</v>
      </c>
      <c r="E15" s="41">
        <v>250000</v>
      </c>
      <c r="F15" s="26">
        <f>C15*E15</f>
        <v>2000000</v>
      </c>
    </row>
    <row r="16" spans="1:10" x14ac:dyDescent="0.2">
      <c r="A16" s="3">
        <v>4.2</v>
      </c>
      <c r="B16" s="25" t="s">
        <v>30</v>
      </c>
      <c r="C16" s="24">
        <v>1</v>
      </c>
      <c r="D16" s="23" t="s">
        <v>52</v>
      </c>
      <c r="E16" s="41">
        <v>220000</v>
      </c>
      <c r="F16" s="26">
        <f t="shared" ref="F16:F18" si="1">C16*E16</f>
        <v>220000</v>
      </c>
    </row>
    <row r="17" spans="1:6" x14ac:dyDescent="0.2">
      <c r="A17" s="55">
        <v>4.3</v>
      </c>
      <c r="B17" s="56" t="s">
        <v>31</v>
      </c>
      <c r="C17" s="57">
        <v>2</v>
      </c>
      <c r="D17" s="57" t="s">
        <v>52</v>
      </c>
      <c r="E17" s="57">
        <v>6000000</v>
      </c>
      <c r="F17" s="26">
        <f t="shared" si="1"/>
        <v>12000000</v>
      </c>
    </row>
    <row r="18" spans="1:6" x14ac:dyDescent="0.2">
      <c r="A18" s="4">
        <v>4.4000000000000004</v>
      </c>
      <c r="B18" s="25" t="s">
        <v>32</v>
      </c>
      <c r="C18" s="24">
        <v>1</v>
      </c>
      <c r="D18" s="23" t="s">
        <v>58</v>
      </c>
      <c r="E18" s="41">
        <v>1500000</v>
      </c>
      <c r="F18" s="26">
        <f t="shared" si="1"/>
        <v>1500000</v>
      </c>
    </row>
    <row r="19" spans="1:6" x14ac:dyDescent="0.2">
      <c r="A19" s="5">
        <v>5</v>
      </c>
      <c r="B19" s="5" t="s">
        <v>188</v>
      </c>
      <c r="C19" s="36">
        <v>1</v>
      </c>
      <c r="D19" s="5" t="s">
        <v>56</v>
      </c>
      <c r="E19" s="5"/>
      <c r="F19" s="26">
        <f>SUM(F20:F30)</f>
        <v>11996665.6</v>
      </c>
    </row>
    <row r="20" spans="1:6" x14ac:dyDescent="0.2">
      <c r="A20" s="3">
        <v>5.0999999999999996</v>
      </c>
      <c r="B20" s="3" t="s">
        <v>33</v>
      </c>
      <c r="C20" s="36">
        <f>运营期间费用构成!C14*0.3</f>
        <v>2580</v>
      </c>
      <c r="D20" s="12" t="s">
        <v>59</v>
      </c>
      <c r="E20" s="41">
        <v>600</v>
      </c>
      <c r="F20" s="26">
        <f>C20*E20</f>
        <v>1548000</v>
      </c>
    </row>
    <row r="21" spans="1:6" x14ac:dyDescent="0.2">
      <c r="A21" s="3">
        <v>5.2</v>
      </c>
      <c r="B21" s="3" t="s">
        <v>34</v>
      </c>
      <c r="C21" s="36">
        <f>(6.242*2.6*3*直流侧成本构成!G2)+(7*3.5*3*交流侧成本构成!C3)+(直流侧成本构成!G2*7*1.5*2)+施工耗材基建成本构成!C11*1.5*1.5</f>
        <v>8965.0079999999998</v>
      </c>
      <c r="D21" s="12" t="s">
        <v>59</v>
      </c>
      <c r="E21" s="41">
        <v>400</v>
      </c>
      <c r="F21" s="26">
        <f>C21*E21</f>
        <v>3586003.1999999997</v>
      </c>
    </row>
    <row r="22" spans="1:6" x14ac:dyDescent="0.2">
      <c r="A22" s="4">
        <v>5.3</v>
      </c>
      <c r="B22" s="3" t="s">
        <v>35</v>
      </c>
      <c r="C22" s="36">
        <f>16*C23/1000</f>
        <v>55.795199999999987</v>
      </c>
      <c r="D22" s="12" t="s">
        <v>60</v>
      </c>
      <c r="E22" s="41">
        <v>6000</v>
      </c>
      <c r="F22" s="26">
        <f>C22*E22</f>
        <v>334771.1999999999</v>
      </c>
    </row>
    <row r="23" spans="1:6" x14ac:dyDescent="0.2">
      <c r="A23" s="4">
        <v>5.4</v>
      </c>
      <c r="B23" s="3" t="s">
        <v>36</v>
      </c>
      <c r="C23" s="36">
        <f>((6.6*2+2.8*2)*0.35*3*直流侧成本构成!G2)+((7*2+3.5*2)*0.35*3*交流侧成本构成!C3)+(直流侧成本构成!G2*7*4.5*0.3)+施工耗材基建成本构成!C11*4.5*0.3</f>
        <v>3487.1999999999994</v>
      </c>
      <c r="D23" s="12" t="s">
        <v>59</v>
      </c>
      <c r="E23" s="41">
        <v>450</v>
      </c>
      <c r="F23" s="26">
        <f>C23*E23</f>
        <v>1569239.9999999998</v>
      </c>
    </row>
    <row r="24" spans="1:6" x14ac:dyDescent="0.2">
      <c r="A24" s="4">
        <v>5.5</v>
      </c>
      <c r="B24" s="3" t="s">
        <v>37</v>
      </c>
      <c r="C24" s="36">
        <f>30*直流侧成本构成!G2/1000</f>
        <v>2.4</v>
      </c>
      <c r="D24" s="12" t="s">
        <v>61</v>
      </c>
      <c r="E24" s="41">
        <f>E22</f>
        <v>6000</v>
      </c>
      <c r="F24" s="26">
        <f t="shared" ref="F24:F30" si="2">C24*E24</f>
        <v>14400</v>
      </c>
    </row>
    <row r="25" spans="1:6" x14ac:dyDescent="0.2">
      <c r="A25" s="4">
        <v>5.6</v>
      </c>
      <c r="B25" s="3" t="s">
        <v>38</v>
      </c>
      <c r="C25" s="36">
        <f>180*直流侧成本构成!G2/1000+C11/0.5*4/1000</f>
        <v>16</v>
      </c>
      <c r="D25" s="12" t="s">
        <v>61</v>
      </c>
      <c r="E25" s="41">
        <f>E22</f>
        <v>6000</v>
      </c>
      <c r="F25" s="26">
        <f t="shared" si="2"/>
        <v>96000</v>
      </c>
    </row>
    <row r="26" spans="1:6" x14ac:dyDescent="0.2">
      <c r="A26" s="4">
        <v>5.7</v>
      </c>
      <c r="B26" s="3" t="s">
        <v>39</v>
      </c>
      <c r="C26" s="36">
        <f>C20*0.3</f>
        <v>774</v>
      </c>
      <c r="D26" s="12" t="s">
        <v>59</v>
      </c>
      <c r="E26" s="41">
        <v>450</v>
      </c>
      <c r="F26" s="26">
        <f t="shared" si="2"/>
        <v>348300</v>
      </c>
    </row>
    <row r="27" spans="1:6" x14ac:dyDescent="0.2">
      <c r="A27" s="4">
        <v>5.8</v>
      </c>
      <c r="B27" s="3" t="s">
        <v>40</v>
      </c>
      <c r="C27" s="36">
        <v>400</v>
      </c>
      <c r="D27" s="12" t="s">
        <v>161</v>
      </c>
      <c r="E27" s="41">
        <f>累计充电电费及累计放电量!J5*4</f>
        <v>1600</v>
      </c>
      <c r="F27" s="26">
        <f t="shared" si="2"/>
        <v>640000</v>
      </c>
    </row>
    <row r="28" spans="1:6" x14ac:dyDescent="0.2">
      <c r="A28" s="12">
        <v>5.9</v>
      </c>
      <c r="B28" s="12" t="s">
        <v>195</v>
      </c>
      <c r="C28" s="36">
        <f>C21+C36</f>
        <v>9733.0079999999998</v>
      </c>
      <c r="D28" s="12" t="s">
        <v>196</v>
      </c>
      <c r="E28" s="41">
        <v>150</v>
      </c>
      <c r="F28" s="26">
        <f t="shared" si="2"/>
        <v>1459951.2</v>
      </c>
    </row>
    <row r="29" spans="1:6" x14ac:dyDescent="0.2">
      <c r="A29" s="19">
        <v>5.0999999999999996</v>
      </c>
      <c r="B29" s="4" t="s">
        <v>68</v>
      </c>
      <c r="C29" s="36">
        <v>1</v>
      </c>
      <c r="D29" s="12" t="s">
        <v>75</v>
      </c>
      <c r="E29" s="41">
        <f>累计充电电费及累计放电量!J5*1000*3</f>
        <v>1200000</v>
      </c>
      <c r="F29" s="26">
        <f t="shared" si="2"/>
        <v>1200000</v>
      </c>
    </row>
    <row r="30" spans="1:6" x14ac:dyDescent="0.2">
      <c r="A30" s="19">
        <v>5.1100000000000003</v>
      </c>
      <c r="B30" s="12" t="s">
        <v>197</v>
      </c>
      <c r="C30" s="36">
        <v>1</v>
      </c>
      <c r="D30" s="12" t="s">
        <v>198</v>
      </c>
      <c r="E30" s="41">
        <f>E29</f>
        <v>1200000</v>
      </c>
      <c r="F30" s="26">
        <f t="shared" si="2"/>
        <v>1200000</v>
      </c>
    </row>
    <row r="31" spans="1:6" x14ac:dyDescent="0.2">
      <c r="A31" s="13">
        <v>6</v>
      </c>
      <c r="B31" s="13" t="s">
        <v>174</v>
      </c>
      <c r="C31" s="36">
        <v>1</v>
      </c>
      <c r="D31" s="13" t="s">
        <v>164</v>
      </c>
      <c r="E31" s="13"/>
      <c r="F31" s="26">
        <f>SUM(F32:F36)</f>
        <v>791800</v>
      </c>
    </row>
    <row r="32" spans="1:6" x14ac:dyDescent="0.2">
      <c r="A32" s="12">
        <v>6.1</v>
      </c>
      <c r="B32" s="12" t="s">
        <v>175</v>
      </c>
      <c r="C32" s="24">
        <v>500</v>
      </c>
      <c r="D32" s="23" t="s">
        <v>186</v>
      </c>
      <c r="E32" s="41">
        <v>350</v>
      </c>
      <c r="F32" s="26">
        <f>C32*E32</f>
        <v>175000</v>
      </c>
    </row>
    <row r="33" spans="1:8" x14ac:dyDescent="0.2">
      <c r="A33" s="12">
        <v>6.2</v>
      </c>
      <c r="B33" s="12" t="s">
        <v>176</v>
      </c>
      <c r="C33" s="24">
        <v>2</v>
      </c>
      <c r="D33" s="23" t="s">
        <v>170</v>
      </c>
      <c r="E33" s="41">
        <v>4000</v>
      </c>
      <c r="F33" s="26">
        <f t="shared" ref="F33:F36" si="3">C33*E33</f>
        <v>8000</v>
      </c>
    </row>
    <row r="34" spans="1:8" x14ac:dyDescent="0.2">
      <c r="A34" s="12">
        <v>6.3</v>
      </c>
      <c r="B34" s="12" t="s">
        <v>177</v>
      </c>
      <c r="C34" s="36">
        <f>C9</f>
        <v>2400</v>
      </c>
      <c r="D34" s="12" t="s">
        <v>185</v>
      </c>
      <c r="E34" s="41">
        <v>20</v>
      </c>
      <c r="F34" s="26">
        <f t="shared" si="3"/>
        <v>48000</v>
      </c>
    </row>
    <row r="35" spans="1:8" x14ac:dyDescent="0.2">
      <c r="A35" s="12">
        <v>6.4</v>
      </c>
      <c r="B35" s="12" t="s">
        <v>178</v>
      </c>
      <c r="C35" s="36">
        <v>1</v>
      </c>
      <c r="D35" s="12" t="s">
        <v>171</v>
      </c>
      <c r="E35" s="41">
        <v>100000</v>
      </c>
      <c r="F35" s="26">
        <f t="shared" si="3"/>
        <v>100000</v>
      </c>
    </row>
    <row r="36" spans="1:8" x14ac:dyDescent="0.2">
      <c r="A36" s="12">
        <v>6.5</v>
      </c>
      <c r="B36" s="12" t="s">
        <v>187</v>
      </c>
      <c r="C36" s="36">
        <f>C34*0.4*0.8</f>
        <v>768</v>
      </c>
      <c r="D36" s="12" t="s">
        <v>189</v>
      </c>
      <c r="E36" s="41">
        <v>600</v>
      </c>
      <c r="F36" s="26">
        <f t="shared" si="3"/>
        <v>460800</v>
      </c>
    </row>
    <row r="37" spans="1:8" x14ac:dyDescent="0.2">
      <c r="A37" s="13">
        <v>7</v>
      </c>
      <c r="B37" s="13" t="s">
        <v>181</v>
      </c>
      <c r="C37" s="36">
        <v>1</v>
      </c>
      <c r="D37" s="13" t="s">
        <v>164</v>
      </c>
      <c r="E37" s="13"/>
      <c r="F37" s="26">
        <f>SUM(F38:F43)</f>
        <v>636695.18608649168</v>
      </c>
    </row>
    <row r="38" spans="1:8" x14ac:dyDescent="0.2">
      <c r="A38" s="12">
        <v>7.1</v>
      </c>
      <c r="B38" s="12" t="s">
        <v>180</v>
      </c>
      <c r="C38" s="36">
        <v>1</v>
      </c>
      <c r="D38" s="12" t="s">
        <v>192</v>
      </c>
      <c r="E38" s="41">
        <v>300000</v>
      </c>
      <c r="F38" s="26">
        <f>C38*E38</f>
        <v>300000</v>
      </c>
    </row>
    <row r="39" spans="1:8" x14ac:dyDescent="0.2">
      <c r="A39" s="12">
        <v>7.2</v>
      </c>
      <c r="B39" s="12" t="s">
        <v>182</v>
      </c>
      <c r="C39" s="36">
        <v>1</v>
      </c>
      <c r="D39" s="12" t="s">
        <v>171</v>
      </c>
      <c r="E39" s="41">
        <v>40000</v>
      </c>
      <c r="F39" s="26">
        <f t="shared" ref="F39:F43" si="4">C39*E39</f>
        <v>40000</v>
      </c>
    </row>
    <row r="40" spans="1:8" x14ac:dyDescent="0.2">
      <c r="A40" s="12">
        <v>7.3</v>
      </c>
      <c r="B40" s="12" t="s">
        <v>193</v>
      </c>
      <c r="C40" s="36">
        <v>1</v>
      </c>
      <c r="D40" s="12" t="s">
        <v>171</v>
      </c>
      <c r="E40" s="41">
        <v>25000</v>
      </c>
      <c r="F40" s="26">
        <f t="shared" si="4"/>
        <v>25000</v>
      </c>
    </row>
    <row r="41" spans="1:8" x14ac:dyDescent="0.2">
      <c r="A41" s="12">
        <v>7.4</v>
      </c>
      <c r="B41" s="12" t="s">
        <v>179</v>
      </c>
      <c r="C41" s="36">
        <v>8</v>
      </c>
      <c r="D41" s="12" t="s">
        <v>164</v>
      </c>
      <c r="E41" s="41">
        <v>4000</v>
      </c>
      <c r="F41" s="26">
        <f t="shared" si="4"/>
        <v>32000</v>
      </c>
    </row>
    <row r="42" spans="1:8" x14ac:dyDescent="0.2">
      <c r="A42" s="12">
        <v>7.5</v>
      </c>
      <c r="B42" s="12" t="s">
        <v>184</v>
      </c>
      <c r="C42" s="36">
        <f>SQRT(运营期间费用构成!C14)*4*0.3*3.5</f>
        <v>389.49197681081955</v>
      </c>
      <c r="D42" s="12" t="s">
        <v>194</v>
      </c>
      <c r="E42" s="41">
        <v>600</v>
      </c>
      <c r="F42" s="26">
        <f t="shared" si="4"/>
        <v>233695.18608649174</v>
      </c>
    </row>
    <row r="43" spans="1:8" x14ac:dyDescent="0.2">
      <c r="A43" s="12">
        <v>7.6</v>
      </c>
      <c r="B43" s="12" t="s">
        <v>183</v>
      </c>
      <c r="C43" s="36">
        <v>1</v>
      </c>
      <c r="D43" s="12" t="s">
        <v>171</v>
      </c>
      <c r="E43" s="41">
        <v>6000</v>
      </c>
      <c r="F43" s="26">
        <f t="shared" si="4"/>
        <v>6000</v>
      </c>
    </row>
    <row r="44" spans="1:8" x14ac:dyDescent="0.2">
      <c r="A44" s="5">
        <v>8</v>
      </c>
      <c r="B44" s="5" t="s">
        <v>63</v>
      </c>
      <c r="C44" s="36">
        <v>1</v>
      </c>
      <c r="D44" s="5" t="s">
        <v>77</v>
      </c>
      <c r="E44" s="5"/>
      <c r="F44" s="26">
        <f>SUM(F45:F48)</f>
        <v>8068456.4564564573</v>
      </c>
    </row>
    <row r="45" spans="1:8" x14ac:dyDescent="0.2">
      <c r="A45" s="12">
        <v>8.1</v>
      </c>
      <c r="B45" s="12" t="s">
        <v>64</v>
      </c>
      <c r="C45" s="36">
        <v>1</v>
      </c>
      <c r="D45" s="12" t="s">
        <v>76</v>
      </c>
      <c r="E45" s="37">
        <v>0</v>
      </c>
      <c r="F45" s="26">
        <f>C45*E45</f>
        <v>0</v>
      </c>
      <c r="H45" s="1">
        <f>500000/666</f>
        <v>750.75075075075074</v>
      </c>
    </row>
    <row r="46" spans="1:8" x14ac:dyDescent="0.2">
      <c r="A46" s="12">
        <v>8.1999999999999993</v>
      </c>
      <c r="B46" s="12" t="s">
        <v>65</v>
      </c>
      <c r="C46" s="36">
        <v>1</v>
      </c>
      <c r="D46" s="12" t="s">
        <v>76</v>
      </c>
      <c r="E46" s="37">
        <f>运营期间费用构成!C14/666*500000</f>
        <v>6456456.4564564573</v>
      </c>
      <c r="F46" s="26">
        <f t="shared" ref="F46:F48" si="5">C46*E46</f>
        <v>6456456.4564564573</v>
      </c>
    </row>
    <row r="47" spans="1:8" x14ac:dyDescent="0.2">
      <c r="A47" s="12">
        <v>8.3000000000000007</v>
      </c>
      <c r="B47" s="12" t="s">
        <v>131</v>
      </c>
      <c r="C47" s="36">
        <v>1</v>
      </c>
      <c r="D47" s="12" t="s">
        <v>74</v>
      </c>
      <c r="E47" s="37">
        <f>4*累计充电电费及累计放电量!J5*1000</f>
        <v>1600000</v>
      </c>
      <c r="F47" s="26">
        <f t="shared" si="5"/>
        <v>1600000</v>
      </c>
    </row>
    <row r="48" spans="1:8" x14ac:dyDescent="0.2">
      <c r="A48" s="12">
        <v>8.4</v>
      </c>
      <c r="B48" s="12" t="s">
        <v>173</v>
      </c>
      <c r="C48" s="36">
        <v>600</v>
      </c>
      <c r="D48" s="12" t="s">
        <v>161</v>
      </c>
      <c r="E48" s="37">
        <v>20</v>
      </c>
      <c r="F48" s="26">
        <f t="shared" si="5"/>
        <v>12000</v>
      </c>
    </row>
  </sheetData>
  <mergeCells count="2">
    <mergeCell ref="D1:F1"/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V26"/>
  <sheetViews>
    <sheetView workbookViewId="0">
      <selection activeCell="R35" sqref="R35"/>
    </sheetView>
  </sheetViews>
  <sheetFormatPr defaultRowHeight="14.25" x14ac:dyDescent="0.2"/>
  <cols>
    <col min="1" max="1" width="8.875" style="1"/>
    <col min="2" max="2" width="13.125" style="1" customWidth="1"/>
    <col min="3" max="11" width="9.375" style="1" customWidth="1"/>
    <col min="12" max="20" width="9.375" customWidth="1"/>
  </cols>
  <sheetData>
    <row r="1" spans="1:22" x14ac:dyDescent="0.2">
      <c r="B1" s="144" t="s">
        <v>134</v>
      </c>
      <c r="C1" s="144"/>
      <c r="D1" s="144"/>
      <c r="E1" s="145">
        <f>SUM(C11:V11)</f>
        <v>61184120.679999985</v>
      </c>
      <c r="F1" s="145"/>
      <c r="G1" s="145"/>
      <c r="H1" s="1" t="s">
        <v>202</v>
      </c>
    </row>
    <row r="2" spans="1:22" x14ac:dyDescent="0.2">
      <c r="A2" s="9" t="s">
        <v>135</v>
      </c>
      <c r="B2" s="9" t="s">
        <v>132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9">
        <v>13</v>
      </c>
      <c r="P2" s="9">
        <v>14</v>
      </c>
      <c r="Q2" s="9">
        <v>15</v>
      </c>
      <c r="R2" s="50">
        <v>16</v>
      </c>
      <c r="S2" s="50">
        <v>17</v>
      </c>
      <c r="T2" s="50">
        <v>18</v>
      </c>
      <c r="U2" s="50">
        <v>19</v>
      </c>
      <c r="V2" s="50">
        <v>20</v>
      </c>
    </row>
    <row r="3" spans="1:22" x14ac:dyDescent="0.2">
      <c r="A3" s="10">
        <v>1</v>
      </c>
      <c r="B3" s="10" t="s">
        <v>133</v>
      </c>
      <c r="C3" s="10">
        <f>IF(累计充电电费及累计放电量!$J$9+1&gt;运营期间费用构成!C2,运营期间费用构成!$C$13*运营期间费用构成!$C$14,0)</f>
        <v>0</v>
      </c>
      <c r="D3" s="10">
        <f>IF(累计充电电费及累计放电量!$J$9+1&gt;运营期间费用构成!D2,运营期间费用构成!$C$13*运营期间费用构成!$C$14,0)</f>
        <v>0</v>
      </c>
      <c r="E3" s="10">
        <f>IF(累计充电电费及累计放电量!$J$9+1&gt;运营期间费用构成!E2,运营期间费用构成!$C$13*运营期间费用构成!$C$14,0)</f>
        <v>0</v>
      </c>
      <c r="F3" s="10">
        <f>IF(累计充电电费及累计放电量!$J$9+1&gt;运营期间费用构成!F2,运营期间费用构成!$C$13*运营期间费用构成!$C$14,0)</f>
        <v>0</v>
      </c>
      <c r="G3" s="10">
        <f>IF(累计充电电费及累计放电量!$J$9+1&gt;运营期间费用构成!G2,运营期间费用构成!$C$13*运营期间费用构成!$C$14,0)</f>
        <v>0</v>
      </c>
      <c r="H3" s="10">
        <f>IF(累计充电电费及累计放电量!$J$9+1&gt;运营期间费用构成!H2,运营期间费用构成!$C$13*运营期间费用构成!$C$14,0)</f>
        <v>0</v>
      </c>
      <c r="I3" s="10">
        <f>IF(累计充电电费及累计放电量!$J$9+1&gt;运营期间费用构成!I2,运营期间费用构成!$C$13*运营期间费用构成!$C$14,0)</f>
        <v>0</v>
      </c>
      <c r="J3" s="10">
        <f>IF(累计充电电费及累计放电量!$J$9+1&gt;运营期间费用构成!J2,运营期间费用构成!$C$13*运营期间费用构成!$C$14,0)</f>
        <v>0</v>
      </c>
      <c r="K3" s="10">
        <f>IF(累计充电电费及累计放电量!$J$9+1&gt;运营期间费用构成!K2,运营期间费用构成!$C$13*运营期间费用构成!$C$14,0)</f>
        <v>0</v>
      </c>
      <c r="L3" s="10">
        <f>IF(累计充电电费及累计放电量!$J$9+1&gt;运营期间费用构成!L2,运营期间费用构成!$C$13*运营期间费用构成!$C$14,0)</f>
        <v>0</v>
      </c>
      <c r="M3" s="10">
        <f>IF(累计充电电费及累计放电量!$J$9+1&gt;运营期间费用构成!M2,运营期间费用构成!$C$13*运营期间费用构成!$C$14,0)</f>
        <v>0</v>
      </c>
      <c r="N3" s="10">
        <f>IF(累计充电电费及累计放电量!$J$9+1&gt;运营期间费用构成!N2,运营期间费用构成!$C$13*运营期间费用构成!$C$14,0)</f>
        <v>0</v>
      </c>
      <c r="O3" s="10">
        <f>IF(累计充电电费及累计放电量!$J$9+1&gt;运营期间费用构成!O2,运营期间费用构成!$C$13*运营期间费用构成!$C$14,0)</f>
        <v>0</v>
      </c>
      <c r="P3" s="10">
        <f>IF(累计充电电费及累计放电量!$J$9+1&gt;运营期间费用构成!P2,运营期间费用构成!$C$13*运营期间费用构成!$C$14,0)</f>
        <v>0</v>
      </c>
      <c r="Q3" s="10">
        <f>IF(累计充电电费及累计放电量!$J$9+1&gt;运营期间费用构成!Q2,运营期间费用构成!$C$13*运营期间费用构成!$C$14,0)</f>
        <v>0</v>
      </c>
      <c r="R3" s="52">
        <f>IF(累计充电电费及累计放电量!$J$9+1&gt;运营期间费用构成!R2,运营期间费用构成!$C$13*运营期间费用构成!$C$14,0)</f>
        <v>0</v>
      </c>
      <c r="S3" s="52">
        <f>IF(累计充电电费及累计放电量!$J$9+1&gt;运营期间费用构成!S2,运营期间费用构成!$C$13*运营期间费用构成!$C$14,0)</f>
        <v>0</v>
      </c>
      <c r="T3" s="52">
        <f>IF(累计充电电费及累计放电量!$J$9+1&gt;运营期间费用构成!T2,运营期间费用构成!$C$13*运营期间费用构成!$C$14,0)</f>
        <v>0</v>
      </c>
      <c r="U3" s="52">
        <f>IF(累计充电电费及累计放电量!$J$9+1&gt;运营期间费用构成!U2,运营期间费用构成!$C$13*运营期间费用构成!$C$14,0)</f>
        <v>0</v>
      </c>
      <c r="V3" s="52">
        <f>IF(累计充电电费及累计放电量!$J$9+1&gt;运营期间费用构成!V2,运营期间费用构成!$C$13*运营期间费用构成!$C$14,0)</f>
        <v>0</v>
      </c>
    </row>
    <row r="4" spans="1:22" x14ac:dyDescent="0.2">
      <c r="A4" s="10">
        <v>2</v>
      </c>
      <c r="B4" s="10" t="s">
        <v>136</v>
      </c>
      <c r="C4" s="10">
        <f>C5+C6</f>
        <v>990000</v>
      </c>
      <c r="D4" s="10">
        <f t="shared" ref="D4:Q4" si="0">D5+D6</f>
        <v>990000</v>
      </c>
      <c r="E4" s="10">
        <f t="shared" si="0"/>
        <v>990000</v>
      </c>
      <c r="F4" s="10">
        <f t="shared" si="0"/>
        <v>990000</v>
      </c>
      <c r="G4" s="10">
        <f t="shared" si="0"/>
        <v>990000</v>
      </c>
      <c r="H4" s="10">
        <f t="shared" si="0"/>
        <v>990000</v>
      </c>
      <c r="I4" s="10">
        <f t="shared" si="0"/>
        <v>990000</v>
      </c>
      <c r="J4" s="10">
        <f t="shared" si="0"/>
        <v>990000</v>
      </c>
      <c r="K4" s="10">
        <f t="shared" si="0"/>
        <v>990000</v>
      </c>
      <c r="L4" s="10">
        <f t="shared" si="0"/>
        <v>990000</v>
      </c>
      <c r="M4" s="10">
        <f t="shared" si="0"/>
        <v>990000</v>
      </c>
      <c r="N4" s="10">
        <f t="shared" si="0"/>
        <v>990000</v>
      </c>
      <c r="O4" s="10">
        <f t="shared" si="0"/>
        <v>990000</v>
      </c>
      <c r="P4" s="10">
        <f t="shared" si="0"/>
        <v>990000</v>
      </c>
      <c r="Q4" s="10">
        <f t="shared" si="0"/>
        <v>990000</v>
      </c>
      <c r="R4" s="52">
        <f t="shared" ref="R4:V4" si="1">R5+R6</f>
        <v>990000</v>
      </c>
      <c r="S4" s="52">
        <f t="shared" si="1"/>
        <v>990000</v>
      </c>
      <c r="T4" s="52">
        <f t="shared" si="1"/>
        <v>990000</v>
      </c>
      <c r="U4" s="52">
        <f t="shared" si="1"/>
        <v>990000</v>
      </c>
      <c r="V4" s="52">
        <f t="shared" si="1"/>
        <v>0</v>
      </c>
    </row>
    <row r="5" spans="1:22" x14ac:dyDescent="0.2">
      <c r="A5" s="32">
        <v>2.1</v>
      </c>
      <c r="B5" s="32" t="s">
        <v>137</v>
      </c>
      <c r="C5" s="32">
        <f>IF(累计充电电费及累计放电量!$J$9+1&gt;运营期间费用构成!C2,$C$15,0)</f>
        <v>960000</v>
      </c>
      <c r="D5" s="32">
        <f>IF(累计充电电费及累计放电量!$J$9+1&gt;运营期间费用构成!D2,$C$15,0)</f>
        <v>960000</v>
      </c>
      <c r="E5" s="32">
        <f>IF(累计充电电费及累计放电量!$J$9+1&gt;运营期间费用构成!E2,$C$15,0)</f>
        <v>960000</v>
      </c>
      <c r="F5" s="32">
        <f>IF(累计充电电费及累计放电量!$J$9+1&gt;运营期间费用构成!F2,$C$15,0)</f>
        <v>960000</v>
      </c>
      <c r="G5" s="32">
        <f>IF(累计充电电费及累计放电量!$J$9+1&gt;运营期间费用构成!G2,$C$15,0)</f>
        <v>960000</v>
      </c>
      <c r="H5" s="32">
        <f>IF(累计充电电费及累计放电量!$J$9+1&gt;运营期间费用构成!H2,$C$15,0)</f>
        <v>960000</v>
      </c>
      <c r="I5" s="32">
        <f>IF(累计充电电费及累计放电量!$J$9+1&gt;运营期间费用构成!I2,$C$15,0)</f>
        <v>960000</v>
      </c>
      <c r="J5" s="32">
        <f>IF(累计充电电费及累计放电量!$J$9+1&gt;运营期间费用构成!J2,$C$15,0)</f>
        <v>960000</v>
      </c>
      <c r="K5" s="32">
        <f>IF(累计充电电费及累计放电量!$J$9+1&gt;运营期间费用构成!K2,$C$15,0)</f>
        <v>960000</v>
      </c>
      <c r="L5" s="32">
        <f>IF(累计充电电费及累计放电量!$J$9+1&gt;运营期间费用构成!L2,$C$15,0)</f>
        <v>960000</v>
      </c>
      <c r="M5" s="32">
        <f>IF(累计充电电费及累计放电量!$J$9+1&gt;运营期间费用构成!M2,$C$15,0)</f>
        <v>960000</v>
      </c>
      <c r="N5" s="32">
        <f>IF(累计充电电费及累计放电量!$J$9+1&gt;运营期间费用构成!N2,$C$15,0)</f>
        <v>960000</v>
      </c>
      <c r="O5" s="32">
        <f>IF(累计充电电费及累计放电量!$J$9+1&gt;运营期间费用构成!O2,$C$15,0)</f>
        <v>960000</v>
      </c>
      <c r="P5" s="32">
        <f>IF(累计充电电费及累计放电量!$J$9+1&gt;运营期间费用构成!P2,$C$15,0)</f>
        <v>960000</v>
      </c>
      <c r="Q5" s="32">
        <f>IF(累计充电电费及累计放电量!$J$9+1&gt;运营期间费用构成!Q2,$C$15,0)</f>
        <v>960000</v>
      </c>
      <c r="R5" s="52">
        <f>IF(累计充电电费及累计放电量!$J$9+1&gt;运营期间费用构成!R2,$C$15,0)</f>
        <v>960000</v>
      </c>
      <c r="S5" s="52">
        <f>IF(累计充电电费及累计放电量!$J$9+1&gt;运营期间费用构成!S2,$C$15,0)</f>
        <v>960000</v>
      </c>
      <c r="T5" s="52">
        <f>IF(累计充电电费及累计放电量!$J$9+1&gt;运营期间费用构成!T2,$C$15,0)</f>
        <v>960000</v>
      </c>
      <c r="U5" s="52">
        <f>IF(累计充电电费及累计放电量!$J$9+1&gt;运营期间费用构成!U2,$C$15,0)</f>
        <v>960000</v>
      </c>
      <c r="V5" s="52">
        <f>IF(累计充电电费及累计放电量!$J$9+1&gt;运营期间费用构成!V2,$C$15,0)</f>
        <v>0</v>
      </c>
    </row>
    <row r="6" spans="1:22" x14ac:dyDescent="0.2">
      <c r="A6" s="32">
        <v>2.2000000000000002</v>
      </c>
      <c r="B6" s="32" t="s">
        <v>138</v>
      </c>
      <c r="C6" s="32">
        <f>IF(累计充电电费及累计放电量!$J$9+1&gt;运营期间费用构成!C2,$C$16,0)</f>
        <v>30000</v>
      </c>
      <c r="D6" s="32">
        <f>IF(累计充电电费及累计放电量!$J$9+1&gt;运营期间费用构成!D2,$C$16,0)</f>
        <v>30000</v>
      </c>
      <c r="E6" s="32">
        <f>IF(累计充电电费及累计放电量!$J$9+1&gt;运营期间费用构成!E2,$C$16,0)</f>
        <v>30000</v>
      </c>
      <c r="F6" s="32">
        <f>IF(累计充电电费及累计放电量!$J$9+1&gt;运营期间费用构成!F2,$C$16,0)</f>
        <v>30000</v>
      </c>
      <c r="G6" s="32">
        <f>IF(累计充电电费及累计放电量!$J$9+1&gt;运营期间费用构成!G2,$C$16,0)</f>
        <v>30000</v>
      </c>
      <c r="H6" s="32">
        <f>IF(累计充电电费及累计放电量!$J$9+1&gt;运营期间费用构成!H2,$C$16,0)</f>
        <v>30000</v>
      </c>
      <c r="I6" s="32">
        <f>IF(累计充电电费及累计放电量!$J$9+1&gt;运营期间费用构成!I2,$C$16,0)</f>
        <v>30000</v>
      </c>
      <c r="J6" s="32">
        <f>IF(累计充电电费及累计放电量!$J$9+1&gt;运营期间费用构成!J2,$C$16,0)</f>
        <v>30000</v>
      </c>
      <c r="K6" s="32">
        <f>IF(累计充电电费及累计放电量!$J$9+1&gt;运营期间费用构成!K2,$C$16,0)</f>
        <v>30000</v>
      </c>
      <c r="L6" s="32">
        <f>IF(累计充电电费及累计放电量!$J$9+1&gt;运营期间费用构成!L2,$C$16,0)</f>
        <v>30000</v>
      </c>
      <c r="M6" s="32">
        <f>IF(累计充电电费及累计放电量!$J$9+1&gt;运营期间费用构成!M2,$C$16,0)</f>
        <v>30000</v>
      </c>
      <c r="N6" s="32">
        <f>IF(累计充电电费及累计放电量!$J$9+1&gt;运营期间费用构成!N2,$C$16,0)</f>
        <v>30000</v>
      </c>
      <c r="O6" s="32">
        <f>IF(累计充电电费及累计放电量!$J$9+1&gt;运营期间费用构成!O2,$C$16,0)</f>
        <v>30000</v>
      </c>
      <c r="P6" s="32">
        <f>IF(累计充电电费及累计放电量!$J$9+1&gt;运营期间费用构成!P2,$C$16,0)</f>
        <v>30000</v>
      </c>
      <c r="Q6" s="32">
        <f>IF(累计充电电费及累计放电量!$J$9+1&gt;运营期间费用构成!Q2,$C$16,0)</f>
        <v>30000</v>
      </c>
      <c r="R6" s="52">
        <f>IF(累计充电电费及累计放电量!$J$9+1&gt;运营期间费用构成!R2,$C$16,0)</f>
        <v>30000</v>
      </c>
      <c r="S6" s="52">
        <f>IF(累计充电电费及累计放电量!$J$9+1&gt;运营期间费用构成!S2,$C$16,0)</f>
        <v>30000</v>
      </c>
      <c r="T6" s="52">
        <f>IF(累计充电电费及累计放电量!$J$9+1&gt;运营期间费用构成!T2,$C$16,0)</f>
        <v>30000</v>
      </c>
      <c r="U6" s="52">
        <f>IF(累计充电电费及累计放电量!$J$9+1&gt;运营期间费用构成!U2,$C$16,0)</f>
        <v>30000</v>
      </c>
      <c r="V6" s="52">
        <f>IF(累计充电电费及累计放电量!$J$9+1&gt;运营期间费用构成!V2,$C$16,0)</f>
        <v>0</v>
      </c>
    </row>
    <row r="7" spans="1:22" x14ac:dyDescent="0.2">
      <c r="A7" s="10">
        <v>3</v>
      </c>
      <c r="B7" s="10" t="s">
        <v>139</v>
      </c>
      <c r="C7" s="10">
        <f>IF(累计充电电费及累计放电量!$J$9+1&gt;运营期间费用构成!C2,C8+C9,0)</f>
        <v>1600000</v>
      </c>
      <c r="D7" s="13">
        <f>IF(累计充电电费及累计放电量!$J$9+1&gt;运营期间费用构成!D2,D8+D9,0)</f>
        <v>1600000</v>
      </c>
      <c r="E7" s="13">
        <f>IF(累计充电电费及累计放电量!$J$9+1&gt;运营期间费用构成!E2,E8+E9,0)</f>
        <v>1840000</v>
      </c>
      <c r="F7" s="13">
        <f>IF(累计充电电费及累计放电量!$J$9+1&gt;运营期间费用构成!F2,F8+F9,0)</f>
        <v>1600000</v>
      </c>
      <c r="G7" s="13">
        <f>IF(累计充电电费及累计放电量!$J$9+1&gt;运营期间费用构成!G2,G8+G9,0)</f>
        <v>1904000</v>
      </c>
      <c r="H7" s="13">
        <f>IF(累计充电电费及累计放电量!$J$9+1&gt;运营期间费用构成!H2,H8+H9,0)</f>
        <v>1840000</v>
      </c>
      <c r="I7" s="13">
        <f>IF(累计充电电费及累计放电量!$J$9+1&gt;运营期间费用构成!I2,I8+I9,0)</f>
        <v>1600000</v>
      </c>
      <c r="J7" s="13">
        <f>IF(累计充电电费及累计放电量!$J$9+1&gt;运营期间费用构成!J2,J8+J9,0)</f>
        <v>1600000</v>
      </c>
      <c r="K7" s="13">
        <f>IF(累计充电电费及累计放电量!$J$9+1&gt;运营期间费用构成!K2,K8+K9,0)</f>
        <v>1840000</v>
      </c>
      <c r="L7" s="13">
        <f>IF(累计充电电费及累计放电量!$J$9+1&gt;运营期间费用构成!L2,L8+L9,0)</f>
        <v>1904000</v>
      </c>
      <c r="M7" s="13">
        <f>IF(累计充电电费及累计放电量!$J$9+1&gt;运营期间费用构成!M2,M8+M9,0)</f>
        <v>2000000</v>
      </c>
      <c r="N7" s="13">
        <f>IF(累计充电电费及累计放电量!$J$9+1&gt;运营期间费用构成!N2,N8+N9,0)</f>
        <v>2240000</v>
      </c>
      <c r="O7" s="13">
        <f>IF(累计充电电费及累计放电量!$J$9+1&gt;运营期间费用构成!O2,O8+O9,0)</f>
        <v>2000000</v>
      </c>
      <c r="P7" s="13">
        <f>IF(累计充电电费及累计放电量!$J$9+1&gt;运营期间费用构成!P2,P8+P9,0)</f>
        <v>2000000</v>
      </c>
      <c r="Q7" s="13">
        <f>IF(累计充电电费及累计放电量!$J$9+1&gt;运营期间费用构成!Q2,Q8+Q9,0)</f>
        <v>2544000</v>
      </c>
      <c r="R7" s="52">
        <f>IF(累计充电电费及累计放电量!$J$9+1&gt;运营期间费用构成!R2,R8+R9,0)</f>
        <v>2000000</v>
      </c>
      <c r="S7" s="52">
        <f>IF(累计充电电费及累计放电量!$J$9+1&gt;运营期间费用构成!S2,S8+S9,0)</f>
        <v>2000000</v>
      </c>
      <c r="T7" s="52">
        <f>IF(累计充电电费及累计放电量!$J$9+1&gt;运营期间费用构成!T2,T8+T9,0)</f>
        <v>2240000</v>
      </c>
      <c r="U7" s="52">
        <f>IF(累计充电电费及累计放电量!$J$9+1&gt;运营期间费用构成!U2,U8+U9,0)</f>
        <v>2000000</v>
      </c>
      <c r="V7" s="52">
        <f>IF(累计充电电费及累计放电量!$J$9+1&gt;运营期间费用构成!V2,V8+V9,0)</f>
        <v>0</v>
      </c>
    </row>
    <row r="8" spans="1:22" x14ac:dyDescent="0.2">
      <c r="A8" s="32">
        <v>3.1</v>
      </c>
      <c r="B8" s="32" t="s">
        <v>140</v>
      </c>
      <c r="C8" s="32">
        <f>C21*直流侧成本构成!$G$2</f>
        <v>0</v>
      </c>
      <c r="D8" s="52">
        <f>D21*直流侧成本构成!$G$2</f>
        <v>0</v>
      </c>
      <c r="E8" s="52">
        <f>E21*直流侧成本构成!$G$2</f>
        <v>240000</v>
      </c>
      <c r="F8" s="52">
        <f>F21*直流侧成本构成!$G$2</f>
        <v>0</v>
      </c>
      <c r="G8" s="52">
        <f>G21*直流侧成本构成!$G$2</f>
        <v>304000</v>
      </c>
      <c r="H8" s="52">
        <f>H21*直流侧成本构成!$G$2</f>
        <v>240000</v>
      </c>
      <c r="I8" s="52">
        <f>I21*直流侧成本构成!$G$2</f>
        <v>0</v>
      </c>
      <c r="J8" s="52">
        <f>J21*直流侧成本构成!$G$2</f>
        <v>0</v>
      </c>
      <c r="K8" s="52">
        <f>K21*直流侧成本构成!$G$2</f>
        <v>240000</v>
      </c>
      <c r="L8" s="52">
        <f>L21*直流侧成本构成!$G$2</f>
        <v>304000</v>
      </c>
      <c r="M8" s="52">
        <f>M21*直流侧成本构成!$G$2</f>
        <v>0</v>
      </c>
      <c r="N8" s="52">
        <f>N21*直流侧成本构成!$G$2</f>
        <v>240000</v>
      </c>
      <c r="O8" s="52">
        <f>O21*直流侧成本构成!$G$2</f>
        <v>0</v>
      </c>
      <c r="P8" s="52">
        <f>P21*直流侧成本构成!$G$2</f>
        <v>0</v>
      </c>
      <c r="Q8" s="52">
        <f>Q21*直流侧成本构成!$G$2</f>
        <v>544000</v>
      </c>
      <c r="R8" s="52">
        <f>R21*直流侧成本构成!$G$2</f>
        <v>0</v>
      </c>
      <c r="S8" s="52">
        <f>S21*直流侧成本构成!$G$2</f>
        <v>0</v>
      </c>
      <c r="T8" s="52">
        <f>T21*直流侧成本构成!$G$2</f>
        <v>240000</v>
      </c>
      <c r="U8" s="52">
        <f>U21*直流侧成本构成!$G$2</f>
        <v>0</v>
      </c>
      <c r="V8" s="52">
        <f>V21*直流侧成本构成!$G$2</f>
        <v>304000</v>
      </c>
    </row>
    <row r="9" spans="1:22" x14ac:dyDescent="0.2">
      <c r="A9" s="32">
        <v>3.2</v>
      </c>
      <c r="B9" s="32" t="s">
        <v>141</v>
      </c>
      <c r="C9" s="32">
        <f>IF(累计充电电费及累计放电量!$J$9+1&gt;运营期间费用构成!C2,C26,0)</f>
        <v>1600000</v>
      </c>
      <c r="D9" s="32">
        <f>IF(累计充电电费及累计放电量!$J$9+1&gt;运营期间费用构成!D2,D26,0)</f>
        <v>1600000</v>
      </c>
      <c r="E9" s="32">
        <f>IF(累计充电电费及累计放电量!$J$9+1&gt;运营期间费用构成!E2,E26,0)</f>
        <v>1600000</v>
      </c>
      <c r="F9" s="32">
        <f>IF(累计充电电费及累计放电量!$J$9+1&gt;运营期间费用构成!F2,F26,0)</f>
        <v>1600000</v>
      </c>
      <c r="G9" s="32">
        <f>IF(累计充电电费及累计放电量!$J$9+1&gt;运营期间费用构成!G2,G26,0)</f>
        <v>1600000</v>
      </c>
      <c r="H9" s="32">
        <f>IF(累计充电电费及累计放电量!$J$9+1&gt;运营期间费用构成!H2,H26,0)</f>
        <v>1600000</v>
      </c>
      <c r="I9" s="32">
        <f>IF(累计充电电费及累计放电量!$J$9+1&gt;运营期间费用构成!I2,I26,0)</f>
        <v>1600000</v>
      </c>
      <c r="J9" s="32">
        <f>IF(累计充电电费及累计放电量!$J$9+1&gt;运营期间费用构成!J2,J26,0)</f>
        <v>1600000</v>
      </c>
      <c r="K9" s="32">
        <f>IF(累计充电电费及累计放电量!$J$9+1&gt;运营期间费用构成!K2,K26,0)</f>
        <v>1600000</v>
      </c>
      <c r="L9" s="32">
        <f>IF(累计充电电费及累计放电量!$J$9+1&gt;运营期间费用构成!L2,L26,0)</f>
        <v>1600000</v>
      </c>
      <c r="M9" s="32">
        <f>IF(累计充电电费及累计放电量!$J$9+1&gt;运营期间费用构成!M2,M26,0)</f>
        <v>2000000</v>
      </c>
      <c r="N9" s="32">
        <f>IF(累计充电电费及累计放电量!$J$9+1&gt;运营期间费用构成!N2,N26,0)</f>
        <v>2000000</v>
      </c>
      <c r="O9" s="32">
        <f>IF(累计充电电费及累计放电量!$J$9+1&gt;运营期间费用构成!O2,O26,0)</f>
        <v>2000000</v>
      </c>
      <c r="P9" s="32">
        <f>IF(累计充电电费及累计放电量!$J$9+1&gt;运营期间费用构成!P2,P26,0)</f>
        <v>2000000</v>
      </c>
      <c r="Q9" s="32">
        <f>IF(累计充电电费及累计放电量!$J$9+1&gt;运营期间费用构成!Q2,Q26,0)</f>
        <v>2000000</v>
      </c>
      <c r="R9" s="52">
        <f>IF(累计充电电费及累计放电量!$J$9+1&gt;运营期间费用构成!R2,R26,0)</f>
        <v>2000000</v>
      </c>
      <c r="S9" s="52">
        <f>IF(累计充电电费及累计放电量!$J$9+1&gt;运营期间费用构成!S2,S26,0)</f>
        <v>2000000</v>
      </c>
      <c r="T9" s="52">
        <f>IF(累计充电电费及累计放电量!$J$9+1&gt;运营期间费用构成!T2,T26,0)</f>
        <v>2000000</v>
      </c>
      <c r="U9" s="52">
        <f>IF(累计充电电费及累计放电量!$J$9+1&gt;运营期间费用构成!U2,U26,0)</f>
        <v>2000000</v>
      </c>
      <c r="V9" s="52">
        <f>IF(累计充电电费及累计放电量!$J$9+1&gt;运营期间费用构成!V2,V26,0)</f>
        <v>0</v>
      </c>
    </row>
    <row r="10" spans="1:22" x14ac:dyDescent="0.2">
      <c r="A10" s="10">
        <v>4</v>
      </c>
      <c r="B10" s="10" t="s">
        <v>142</v>
      </c>
      <c r="C10" s="10">
        <f>IF(累计充电电费及累计放电量!$J$9+1&gt;运营期间费用构成!C2,$C$18,0)</f>
        <v>316953.71999999997</v>
      </c>
      <c r="D10" s="10">
        <f>IF(累计充电电费及累计放电量!$J$9+1&gt;运营期间费用构成!D2,$C$18,0)</f>
        <v>316953.71999999997</v>
      </c>
      <c r="E10" s="10">
        <f>IF(累计充电电费及累计放电量!$J$9+1&gt;运营期间费用构成!E2,$C$18,0)</f>
        <v>316953.71999999997</v>
      </c>
      <c r="F10" s="10">
        <f>IF(累计充电电费及累计放电量!$J$9+1&gt;运营期间费用构成!F2,$C$18,0)</f>
        <v>316953.71999999997</v>
      </c>
      <c r="G10" s="10">
        <f>IF(累计充电电费及累计放电量!$J$9+1&gt;运营期间费用构成!G2,$C$18,0)</f>
        <v>316953.71999999997</v>
      </c>
      <c r="H10" s="10">
        <f>IF(累计充电电费及累计放电量!$J$9+1&gt;运营期间费用构成!H2,$C$18,0)</f>
        <v>316953.71999999997</v>
      </c>
      <c r="I10" s="10">
        <f>IF(累计充电电费及累计放电量!$J$9+1&gt;运营期间费用构成!I2,$C$18,0)</f>
        <v>316953.71999999997</v>
      </c>
      <c r="J10" s="10">
        <f>IF(累计充电电费及累计放电量!$J$9+1&gt;运营期间费用构成!J2,$C$18,0)</f>
        <v>316953.71999999997</v>
      </c>
      <c r="K10" s="10">
        <f>IF(累计充电电费及累计放电量!$J$9+1&gt;运营期间费用构成!K2,$C$18,0)</f>
        <v>316953.71999999997</v>
      </c>
      <c r="L10" s="10">
        <f>IF(累计充电电费及累计放电量!$J$9+1&gt;运营期间费用构成!L2,$C$18,0)</f>
        <v>316953.71999999997</v>
      </c>
      <c r="M10" s="10">
        <f>IF(累计充电电费及累计放电量!$J$9+1&gt;运营期间费用构成!M2,$C$18,0)</f>
        <v>316953.71999999997</v>
      </c>
      <c r="N10" s="10">
        <f>IF(累计充电电费及累计放电量!$J$9+1&gt;运营期间费用构成!N2,$C$18,0)</f>
        <v>316953.71999999997</v>
      </c>
      <c r="O10" s="10">
        <f>IF(累计充电电费及累计放电量!$J$9+1&gt;运营期间费用构成!O2,$C$18,0)</f>
        <v>316953.71999999997</v>
      </c>
      <c r="P10" s="10">
        <f>IF(累计充电电费及累计放电量!$J$9+1&gt;运营期间费用构成!P2,$C$18,0)</f>
        <v>316953.71999999997</v>
      </c>
      <c r="Q10" s="10">
        <f>IF(累计充电电费及累计放电量!$J$9+1&gt;运营期间费用构成!Q2,$C$18,0)</f>
        <v>316953.71999999997</v>
      </c>
      <c r="R10" s="52">
        <f>IF(累计充电电费及累计放电量!$J$9+1&gt;运营期间费用构成!R2,$C$18,0)</f>
        <v>316953.71999999997</v>
      </c>
      <c r="S10" s="52">
        <f>IF(累计充电电费及累计放电量!$J$9+1&gt;运营期间费用构成!S2,$C$18,0)</f>
        <v>316953.71999999997</v>
      </c>
      <c r="T10" s="52">
        <f>IF(累计充电电费及累计放电量!$J$9+1&gt;运营期间费用构成!T2,$C$18,0)</f>
        <v>316953.71999999997</v>
      </c>
      <c r="U10" s="52">
        <f>IF(累计充电电费及累计放电量!$J$9+1&gt;运营期间费用构成!U2,$C$18,0)</f>
        <v>316953.71999999997</v>
      </c>
      <c r="V10" s="52">
        <f>IF(累计充电电费及累计放电量!$J$9+1&gt;运营期间费用构成!V2,$C$18,0)</f>
        <v>0</v>
      </c>
    </row>
    <row r="11" spans="1:22" x14ac:dyDescent="0.2">
      <c r="A11" s="16">
        <v>5</v>
      </c>
      <c r="B11" s="16" t="s">
        <v>143</v>
      </c>
      <c r="C11" s="16">
        <f>C3+C4+C7+C10</f>
        <v>2906953.7199999997</v>
      </c>
      <c r="D11" s="16">
        <f t="shared" ref="D11:Q11" si="2">D3+D4+D7+D10</f>
        <v>2906953.7199999997</v>
      </c>
      <c r="E11" s="16">
        <f t="shared" si="2"/>
        <v>3146953.7199999997</v>
      </c>
      <c r="F11" s="16">
        <f t="shared" si="2"/>
        <v>2906953.7199999997</v>
      </c>
      <c r="G11" s="16">
        <f t="shared" si="2"/>
        <v>3210953.7199999997</v>
      </c>
      <c r="H11" s="16">
        <f t="shared" si="2"/>
        <v>3146953.7199999997</v>
      </c>
      <c r="I11" s="16">
        <f t="shared" si="2"/>
        <v>2906953.7199999997</v>
      </c>
      <c r="J11" s="16">
        <f t="shared" si="2"/>
        <v>2906953.7199999997</v>
      </c>
      <c r="K11" s="16">
        <f t="shared" si="2"/>
        <v>3146953.7199999997</v>
      </c>
      <c r="L11" s="16">
        <f t="shared" si="2"/>
        <v>3210953.7199999997</v>
      </c>
      <c r="M11" s="16">
        <f t="shared" si="2"/>
        <v>3306953.7199999997</v>
      </c>
      <c r="N11" s="16">
        <f t="shared" si="2"/>
        <v>3546953.7199999997</v>
      </c>
      <c r="O11" s="16">
        <f t="shared" si="2"/>
        <v>3306953.7199999997</v>
      </c>
      <c r="P11" s="16">
        <f t="shared" si="2"/>
        <v>3306953.7199999997</v>
      </c>
      <c r="Q11" s="16">
        <f t="shared" si="2"/>
        <v>3850953.7199999997</v>
      </c>
      <c r="R11" s="16">
        <f t="shared" ref="R11:V11" si="3">R3+R4+R7+R10</f>
        <v>3306953.7199999997</v>
      </c>
      <c r="S11" s="16">
        <f t="shared" si="3"/>
        <v>3306953.7199999997</v>
      </c>
      <c r="T11" s="16">
        <f t="shared" si="3"/>
        <v>3546953.7199999997</v>
      </c>
      <c r="U11" s="16">
        <f t="shared" si="3"/>
        <v>3306953.7199999997</v>
      </c>
      <c r="V11" s="16">
        <f t="shared" si="3"/>
        <v>0</v>
      </c>
    </row>
    <row r="13" spans="1:22" x14ac:dyDescent="0.2">
      <c r="A13" s="146" t="s">
        <v>157</v>
      </c>
      <c r="B13" s="23" t="s">
        <v>144</v>
      </c>
      <c r="C13" s="41">
        <v>0</v>
      </c>
      <c r="D13" s="23" t="s">
        <v>145</v>
      </c>
    </row>
    <row r="14" spans="1:22" x14ac:dyDescent="0.2">
      <c r="A14" s="146"/>
      <c r="B14" s="23" t="s">
        <v>146</v>
      </c>
      <c r="C14" s="24">
        <f>直流侧成本构成!N2</f>
        <v>8600</v>
      </c>
      <c r="D14" s="23" t="s">
        <v>147</v>
      </c>
    </row>
    <row r="15" spans="1:22" x14ac:dyDescent="0.2">
      <c r="A15" s="146"/>
      <c r="B15" s="23" t="s">
        <v>148</v>
      </c>
      <c r="C15" s="26">
        <f>12000*直流侧成本构成!G2</f>
        <v>960000</v>
      </c>
      <c r="D15" s="23" t="s">
        <v>149</v>
      </c>
      <c r="E15" s="148" t="s">
        <v>236</v>
      </c>
      <c r="F15" s="149"/>
      <c r="G15" s="149"/>
    </row>
    <row r="16" spans="1:22" x14ac:dyDescent="0.2">
      <c r="A16" s="146"/>
      <c r="B16" s="23" t="s">
        <v>150</v>
      </c>
      <c r="C16" s="41">
        <v>30000</v>
      </c>
      <c r="D16" s="23" t="s">
        <v>151</v>
      </c>
    </row>
    <row r="17" spans="1:22" x14ac:dyDescent="0.2">
      <c r="A17" s="146"/>
      <c r="B17" s="23" t="s">
        <v>152</v>
      </c>
      <c r="C17" s="41">
        <v>0.15</v>
      </c>
      <c r="D17" s="23" t="s">
        <v>153</v>
      </c>
    </row>
    <row r="18" spans="1:22" x14ac:dyDescent="0.2">
      <c r="A18" s="146"/>
      <c r="B18" s="23" t="s">
        <v>154</v>
      </c>
      <c r="C18" s="26">
        <f>(直流侧成本构成!D2+交流侧成本构成!D1)*运营期间费用构成!C17/100</f>
        <v>316953.71999999997</v>
      </c>
      <c r="D18" s="23" t="s">
        <v>151</v>
      </c>
    </row>
    <row r="19" spans="1:22" x14ac:dyDescent="0.2">
      <c r="A19" s="14"/>
      <c r="B19" s="15"/>
      <c r="C19" s="15"/>
      <c r="D19" s="15"/>
    </row>
    <row r="20" spans="1:22" x14ac:dyDescent="0.2">
      <c r="A20" s="147" t="s">
        <v>158</v>
      </c>
      <c r="B20" s="9" t="s">
        <v>159</v>
      </c>
      <c r="C20" s="9">
        <v>1</v>
      </c>
      <c r="D20" s="9">
        <v>2</v>
      </c>
      <c r="E20" s="9">
        <v>3</v>
      </c>
      <c r="F20" s="9">
        <v>4</v>
      </c>
      <c r="G20" s="9">
        <v>5</v>
      </c>
      <c r="H20" s="9">
        <v>6</v>
      </c>
      <c r="I20" s="9">
        <v>7</v>
      </c>
      <c r="J20" s="9">
        <v>8</v>
      </c>
      <c r="K20" s="9">
        <v>9</v>
      </c>
      <c r="L20" s="9">
        <v>10</v>
      </c>
      <c r="M20" s="9">
        <v>11</v>
      </c>
      <c r="N20" s="9">
        <v>12</v>
      </c>
      <c r="O20" s="9">
        <v>13</v>
      </c>
      <c r="P20" s="9">
        <v>14</v>
      </c>
      <c r="Q20" s="9">
        <v>15</v>
      </c>
      <c r="R20" s="50">
        <v>16</v>
      </c>
      <c r="S20" s="50">
        <v>17</v>
      </c>
      <c r="T20" s="50">
        <v>18</v>
      </c>
      <c r="U20" s="50">
        <v>19</v>
      </c>
      <c r="V20" s="50">
        <v>20</v>
      </c>
    </row>
    <row r="21" spans="1:22" ht="13.9" customHeight="1" x14ac:dyDescent="0.2">
      <c r="A21" s="147"/>
      <c r="B21" s="29" t="s">
        <v>140</v>
      </c>
      <c r="C21" s="29">
        <f>SUM(C22:C25)</f>
        <v>0</v>
      </c>
      <c r="D21" s="29">
        <f t="shared" ref="D21:Q21" si="4">SUM(D22:D25)</f>
        <v>0</v>
      </c>
      <c r="E21" s="29">
        <f t="shared" si="4"/>
        <v>3000</v>
      </c>
      <c r="F21" s="29">
        <f t="shared" si="4"/>
        <v>0</v>
      </c>
      <c r="G21" s="29">
        <f t="shared" si="4"/>
        <v>3800</v>
      </c>
      <c r="H21" s="29">
        <f t="shared" si="4"/>
        <v>3000</v>
      </c>
      <c r="I21" s="29">
        <f t="shared" si="4"/>
        <v>0</v>
      </c>
      <c r="J21" s="29">
        <f t="shared" si="4"/>
        <v>0</v>
      </c>
      <c r="K21" s="29">
        <f t="shared" si="4"/>
        <v>3000</v>
      </c>
      <c r="L21" s="29">
        <f t="shared" si="4"/>
        <v>3800</v>
      </c>
      <c r="M21" s="29">
        <f t="shared" si="4"/>
        <v>0</v>
      </c>
      <c r="N21" s="29">
        <f t="shared" si="4"/>
        <v>3000</v>
      </c>
      <c r="O21" s="29">
        <f t="shared" si="4"/>
        <v>0</v>
      </c>
      <c r="P21" s="29">
        <f t="shared" si="4"/>
        <v>0</v>
      </c>
      <c r="Q21" s="29">
        <f t="shared" si="4"/>
        <v>6800</v>
      </c>
      <c r="R21" s="52">
        <f t="shared" ref="R21:V21" si="5">SUM(R22:R25)</f>
        <v>0</v>
      </c>
      <c r="S21" s="52">
        <f t="shared" si="5"/>
        <v>0</v>
      </c>
      <c r="T21" s="52">
        <f t="shared" si="5"/>
        <v>3000</v>
      </c>
      <c r="U21" s="52">
        <f t="shared" si="5"/>
        <v>0</v>
      </c>
      <c r="V21" s="52">
        <f t="shared" si="5"/>
        <v>3800</v>
      </c>
    </row>
    <row r="22" spans="1:22" x14ac:dyDescent="0.2">
      <c r="A22" s="147"/>
      <c r="B22" s="28" t="s">
        <v>207</v>
      </c>
      <c r="C22" s="37"/>
      <c r="D22" s="37"/>
      <c r="E22" s="37"/>
      <c r="F22" s="37"/>
      <c r="G22" s="37">
        <v>500</v>
      </c>
      <c r="H22" s="37"/>
      <c r="I22" s="37"/>
      <c r="J22" s="37"/>
      <c r="K22" s="37"/>
      <c r="L22" s="43">
        <v>500</v>
      </c>
      <c r="M22" s="43"/>
      <c r="N22" s="43"/>
      <c r="O22" s="43"/>
      <c r="P22" s="43"/>
      <c r="Q22" s="43">
        <v>500</v>
      </c>
      <c r="R22" s="43"/>
      <c r="S22" s="43"/>
      <c r="T22" s="43"/>
      <c r="U22" s="43"/>
      <c r="V22" s="43">
        <v>500</v>
      </c>
    </row>
    <row r="23" spans="1:22" x14ac:dyDescent="0.2">
      <c r="A23" s="147"/>
      <c r="B23" s="28" t="s">
        <v>208</v>
      </c>
      <c r="C23" s="37"/>
      <c r="D23" s="37"/>
      <c r="E23" s="37"/>
      <c r="F23" s="37"/>
      <c r="G23" s="37">
        <v>1600</v>
      </c>
      <c r="H23" s="37"/>
      <c r="I23" s="37"/>
      <c r="J23" s="37"/>
      <c r="K23" s="37"/>
      <c r="L23" s="43">
        <v>1600</v>
      </c>
      <c r="M23" s="43"/>
      <c r="N23" s="43"/>
      <c r="O23" s="43"/>
      <c r="P23" s="43"/>
      <c r="Q23" s="43">
        <v>1600</v>
      </c>
      <c r="R23" s="43"/>
      <c r="S23" s="43"/>
      <c r="T23" s="43"/>
      <c r="U23" s="43"/>
      <c r="V23" s="43">
        <v>1600</v>
      </c>
    </row>
    <row r="24" spans="1:22" x14ac:dyDescent="0.2">
      <c r="A24" s="147"/>
      <c r="B24" s="28" t="s">
        <v>209</v>
      </c>
      <c r="C24" s="37"/>
      <c r="D24" s="37"/>
      <c r="E24" s="37"/>
      <c r="F24" s="37"/>
      <c r="G24" s="37">
        <v>1700</v>
      </c>
      <c r="H24" s="37"/>
      <c r="I24" s="37"/>
      <c r="J24" s="37"/>
      <c r="K24" s="37"/>
      <c r="L24" s="43">
        <v>1700</v>
      </c>
      <c r="M24" s="43"/>
      <c r="N24" s="43"/>
      <c r="O24" s="43"/>
      <c r="P24" s="43"/>
      <c r="Q24" s="43">
        <v>1700</v>
      </c>
      <c r="R24" s="43"/>
      <c r="S24" s="43"/>
      <c r="T24" s="43"/>
      <c r="U24" s="43"/>
      <c r="V24" s="43">
        <v>1700</v>
      </c>
    </row>
    <row r="25" spans="1:22" x14ac:dyDescent="0.2">
      <c r="A25" s="147"/>
      <c r="B25" s="28" t="s">
        <v>210</v>
      </c>
      <c r="C25" s="37"/>
      <c r="D25" s="37"/>
      <c r="E25" s="37">
        <v>3000</v>
      </c>
      <c r="F25" s="37"/>
      <c r="G25" s="37"/>
      <c r="H25" s="37">
        <v>3000</v>
      </c>
      <c r="I25" s="37"/>
      <c r="J25" s="37"/>
      <c r="K25" s="37">
        <v>3000</v>
      </c>
      <c r="L25" s="43"/>
      <c r="M25" s="43"/>
      <c r="N25" s="51">
        <v>3000</v>
      </c>
      <c r="O25" s="43"/>
      <c r="P25" s="43"/>
      <c r="Q25" s="51">
        <v>3000</v>
      </c>
      <c r="R25" s="43"/>
      <c r="S25" s="43"/>
      <c r="T25" s="51">
        <v>3000</v>
      </c>
      <c r="U25" s="43"/>
      <c r="V25" s="43"/>
    </row>
    <row r="26" spans="1:22" ht="28.5" x14ac:dyDescent="0.2">
      <c r="A26" s="147"/>
      <c r="B26" s="30" t="s">
        <v>199</v>
      </c>
      <c r="C26" s="29">
        <f>0.004*累计充电电费及累计放电量!$J$5*1000*1000</f>
        <v>1600000</v>
      </c>
      <c r="D26" s="29">
        <f>0.004*累计充电电费及累计放电量!$J$5*1000*1000</f>
        <v>1600000</v>
      </c>
      <c r="E26" s="29">
        <f>0.004*累计充电电费及累计放电量!$J$5*1000*1000</f>
        <v>1600000</v>
      </c>
      <c r="F26" s="29">
        <f>0.004*累计充电电费及累计放电量!$J$5*1000*1000</f>
        <v>1600000</v>
      </c>
      <c r="G26" s="29">
        <f>0.004*累计充电电费及累计放电量!$J$5*1000*1000</f>
        <v>1600000</v>
      </c>
      <c r="H26" s="29">
        <f>0.004*累计充电电费及累计放电量!$J$5*1000*1000</f>
        <v>1600000</v>
      </c>
      <c r="I26" s="29">
        <f>0.004*累计充电电费及累计放电量!$J$5*1000*1000</f>
        <v>1600000</v>
      </c>
      <c r="J26" s="29">
        <f>0.004*累计充电电费及累计放电量!$J$5*1000*1000</f>
        <v>1600000</v>
      </c>
      <c r="K26" s="29">
        <f>0.004*累计充电电费及累计放电量!$J$5*1000*1000</f>
        <v>1600000</v>
      </c>
      <c r="L26" s="29">
        <f>0.004*累计充电电费及累计放电量!$J$5*1000*1000</f>
        <v>1600000</v>
      </c>
      <c r="M26" s="29">
        <v>2000000</v>
      </c>
      <c r="N26" s="29">
        <v>2000000</v>
      </c>
      <c r="O26" s="52">
        <v>2000000</v>
      </c>
      <c r="P26" s="52">
        <v>2000000</v>
      </c>
      <c r="Q26" s="52">
        <v>2000000</v>
      </c>
      <c r="R26" s="52">
        <v>2000000</v>
      </c>
      <c r="S26" s="52">
        <v>2000000</v>
      </c>
      <c r="T26" s="52">
        <v>2000000</v>
      </c>
      <c r="U26" s="52">
        <v>2000000</v>
      </c>
      <c r="V26" s="52">
        <v>2000000</v>
      </c>
    </row>
  </sheetData>
  <mergeCells count="5">
    <mergeCell ref="B1:D1"/>
    <mergeCell ref="E1:G1"/>
    <mergeCell ref="A13:A18"/>
    <mergeCell ref="A20:A26"/>
    <mergeCell ref="E15:G1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77"/>
  <sheetViews>
    <sheetView zoomScale="90" zoomScaleNormal="90" workbookViewId="0">
      <selection activeCell="J10" sqref="J10"/>
    </sheetView>
  </sheetViews>
  <sheetFormatPr defaultRowHeight="14.25" x14ac:dyDescent="0.2"/>
  <cols>
    <col min="1" max="1" width="12.25" style="1" customWidth="1"/>
    <col min="2" max="2" width="14.125" style="1" customWidth="1"/>
    <col min="3" max="3" width="12.25" style="1" customWidth="1"/>
    <col min="4" max="4" width="12" style="1" customWidth="1"/>
    <col min="5" max="21" width="12.25" style="1" customWidth="1"/>
    <col min="22" max="22" width="14.5" style="1" customWidth="1"/>
  </cols>
  <sheetData>
    <row r="1" spans="1:22" x14ac:dyDescent="0.2">
      <c r="A1" s="33" t="s">
        <v>111</v>
      </c>
      <c r="B1" s="34">
        <f>V76</f>
        <v>2247297774.2408061</v>
      </c>
      <c r="C1" s="32" t="s">
        <v>115</v>
      </c>
      <c r="E1" s="33" t="s">
        <v>113</v>
      </c>
      <c r="F1" s="32">
        <f>B1*J12</f>
        <v>224729777.42408061</v>
      </c>
      <c r="G1" s="32" t="s">
        <v>117</v>
      </c>
      <c r="L1" s="1">
        <f>B2/10000</f>
        <v>194703.5133039802</v>
      </c>
    </row>
    <row r="2" spans="1:22" x14ac:dyDescent="0.2">
      <c r="A2" s="33" t="s">
        <v>112</v>
      </c>
      <c r="B2" s="34">
        <f>V77</f>
        <v>1947035133.0398021</v>
      </c>
      <c r="C2" s="32" t="s">
        <v>116</v>
      </c>
      <c r="E2" s="33" t="s">
        <v>114</v>
      </c>
      <c r="F2" s="32">
        <f>B2*J13</f>
        <v>845013247.73927414</v>
      </c>
      <c r="G2" s="32" t="s">
        <v>118</v>
      </c>
    </row>
    <row r="4" spans="1:22" x14ac:dyDescent="0.2">
      <c r="G4" s="152" t="s">
        <v>101</v>
      </c>
      <c r="H4" s="134" t="s">
        <v>155</v>
      </c>
      <c r="I4" s="134"/>
      <c r="J4" s="24">
        <v>200</v>
      </c>
      <c r="K4" s="9" t="s">
        <v>156</v>
      </c>
    </row>
    <row r="5" spans="1:22" x14ac:dyDescent="0.2">
      <c r="A5" s="155" t="s">
        <v>85</v>
      </c>
      <c r="B5" s="153" t="s">
        <v>81</v>
      </c>
      <c r="C5" s="153"/>
      <c r="D5" s="6">
        <f>J5*J6*1000/(J5*J6*1000/(D8*D9*D10*D11*D12)+D13)</f>
        <v>0.93179396340007159</v>
      </c>
      <c r="E5" s="5" t="s">
        <v>91</v>
      </c>
      <c r="G5" s="152"/>
      <c r="H5" s="134" t="s">
        <v>104</v>
      </c>
      <c r="I5" s="134"/>
      <c r="J5" s="24">
        <v>400</v>
      </c>
      <c r="K5" s="9" t="s">
        <v>105</v>
      </c>
      <c r="V5" t="s">
        <v>213</v>
      </c>
    </row>
    <row r="6" spans="1:22" x14ac:dyDescent="0.2">
      <c r="A6" s="156"/>
      <c r="B6" s="153" t="s">
        <v>82</v>
      </c>
      <c r="C6" s="153"/>
      <c r="D6" s="6">
        <f>((D8*D9*D10*D11*D12)*J5*J6*1000-D13)/(J5*J6*1000)</f>
        <v>0.92980799025405092</v>
      </c>
      <c r="E6" s="5" t="s">
        <v>91</v>
      </c>
      <c r="G6" s="152"/>
      <c r="H6" s="134" t="s">
        <v>93</v>
      </c>
      <c r="I6" s="134"/>
      <c r="J6" s="38">
        <v>0.95</v>
      </c>
      <c r="K6" s="9" t="s">
        <v>97</v>
      </c>
      <c r="V6" t="s">
        <v>230</v>
      </c>
    </row>
    <row r="7" spans="1:22" x14ac:dyDescent="0.2">
      <c r="A7" s="156"/>
      <c r="B7" s="154" t="s">
        <v>83</v>
      </c>
      <c r="C7" s="154"/>
      <c r="D7" s="6">
        <f>D5*D6</f>
        <v>0.8663894724398773</v>
      </c>
      <c r="E7" s="5" t="s">
        <v>91</v>
      </c>
      <c r="G7" s="152"/>
      <c r="H7" s="134" t="s">
        <v>229</v>
      </c>
      <c r="I7" s="134"/>
      <c r="J7" s="38" t="str">
        <f>直流侧成本构成!A2</f>
        <v>CALB314B-5.0</v>
      </c>
      <c r="K7" s="9"/>
      <c r="V7" t="s">
        <v>218</v>
      </c>
    </row>
    <row r="8" spans="1:22" x14ac:dyDescent="0.2">
      <c r="A8" s="156"/>
      <c r="B8" s="134" t="s">
        <v>84</v>
      </c>
      <c r="C8" s="134"/>
      <c r="D8" s="42">
        <f>直流侧成本构成!G8</f>
        <v>0.97467943448089633</v>
      </c>
      <c r="E8" s="4" t="s">
        <v>91</v>
      </c>
      <c r="G8" s="152"/>
      <c r="H8" s="134" t="s">
        <v>94</v>
      </c>
      <c r="I8" s="134"/>
      <c r="J8" s="24">
        <v>350</v>
      </c>
      <c r="K8" s="9" t="s">
        <v>98</v>
      </c>
      <c r="V8" t="s">
        <v>220</v>
      </c>
    </row>
    <row r="9" spans="1:22" x14ac:dyDescent="0.2">
      <c r="A9" s="156"/>
      <c r="B9" s="134" t="s">
        <v>86</v>
      </c>
      <c r="C9" s="134"/>
      <c r="D9" s="40">
        <v>0.98499999999999999</v>
      </c>
      <c r="E9" s="4" t="s">
        <v>91</v>
      </c>
      <c r="G9" s="152"/>
      <c r="H9" s="134" t="s">
        <v>95</v>
      </c>
      <c r="I9" s="134"/>
      <c r="J9" s="41">
        <v>19</v>
      </c>
      <c r="K9" s="9" t="s">
        <v>99</v>
      </c>
      <c r="V9" t="s">
        <v>271</v>
      </c>
    </row>
    <row r="10" spans="1:22" x14ac:dyDescent="0.2">
      <c r="A10" s="156"/>
      <c r="B10" s="134" t="s">
        <v>87</v>
      </c>
      <c r="C10" s="134"/>
      <c r="D10" s="40">
        <v>0.98899999999999999</v>
      </c>
      <c r="E10" s="4" t="s">
        <v>91</v>
      </c>
      <c r="G10" s="152"/>
      <c r="H10" s="134" t="s">
        <v>96</v>
      </c>
      <c r="I10" s="134"/>
      <c r="J10" s="10">
        <f>J8*J9</f>
        <v>6650</v>
      </c>
      <c r="K10" s="9" t="s">
        <v>100</v>
      </c>
      <c r="U10"/>
      <c r="V10" t="s">
        <v>272</v>
      </c>
    </row>
    <row r="11" spans="1:22" x14ac:dyDescent="0.2">
      <c r="A11" s="156"/>
      <c r="B11" s="134" t="s">
        <v>88</v>
      </c>
      <c r="C11" s="134"/>
      <c r="D11" s="40">
        <v>0.997</v>
      </c>
      <c r="E11" s="4" t="s">
        <v>91</v>
      </c>
      <c r="V11" s="1" t="s">
        <v>278</v>
      </c>
    </row>
    <row r="12" spans="1:22" x14ac:dyDescent="0.2">
      <c r="A12" s="156"/>
      <c r="B12" s="134" t="s">
        <v>89</v>
      </c>
      <c r="C12" s="134"/>
      <c r="D12" s="40">
        <v>1</v>
      </c>
      <c r="E12" s="4" t="s">
        <v>91</v>
      </c>
      <c r="G12" s="152" t="s">
        <v>109</v>
      </c>
      <c r="H12" s="134" t="s">
        <v>284</v>
      </c>
      <c r="I12" s="134"/>
      <c r="J12" s="41">
        <v>0.1</v>
      </c>
      <c r="K12" s="4" t="s">
        <v>110</v>
      </c>
    </row>
    <row r="13" spans="1:22" x14ac:dyDescent="0.2">
      <c r="A13" s="156"/>
      <c r="B13" s="134" t="s">
        <v>90</v>
      </c>
      <c r="C13" s="134"/>
      <c r="D13" s="39">
        <v>6400</v>
      </c>
      <c r="E13" s="4" t="s">
        <v>92</v>
      </c>
      <c r="G13" s="152"/>
      <c r="H13" s="134" t="s">
        <v>285</v>
      </c>
      <c r="I13" s="134"/>
      <c r="J13" s="41">
        <v>0.434</v>
      </c>
      <c r="K13" s="4" t="s">
        <v>110</v>
      </c>
    </row>
    <row r="14" spans="1:22" x14ac:dyDescent="0.2">
      <c r="A14" s="156"/>
      <c r="B14" s="134" t="s">
        <v>238</v>
      </c>
      <c r="C14" s="134"/>
      <c r="D14" s="39">
        <v>320</v>
      </c>
      <c r="E14" s="50" t="s">
        <v>237</v>
      </c>
      <c r="G14" s="14" t="s">
        <v>286</v>
      </c>
      <c r="H14" s="15"/>
      <c r="I14" s="15"/>
      <c r="J14" s="59">
        <v>100000</v>
      </c>
      <c r="K14" s="15" t="s">
        <v>288</v>
      </c>
    </row>
    <row r="15" spans="1:22" x14ac:dyDescent="0.2">
      <c r="A15" s="156"/>
      <c r="B15" s="134" t="s">
        <v>239</v>
      </c>
      <c r="C15" s="134"/>
      <c r="D15" s="39">
        <f>320*20</f>
        <v>6400</v>
      </c>
      <c r="E15" s="50" t="s">
        <v>240</v>
      </c>
      <c r="G15" s="14" t="s">
        <v>287</v>
      </c>
      <c r="H15" s="15"/>
      <c r="I15" s="15"/>
      <c r="J15" s="59">
        <v>100</v>
      </c>
      <c r="K15" s="15" t="s">
        <v>289</v>
      </c>
    </row>
    <row r="16" spans="1:22" x14ac:dyDescent="0.2">
      <c r="A16" s="156"/>
      <c r="B16" s="152" t="s">
        <v>241</v>
      </c>
      <c r="C16" s="152"/>
      <c r="D16" s="58">
        <f>((D8*D9*D10*D11*D12)*J5*J6*1000-D13)/(J5*J6*1000/(D8*D9*D10*D11*D12)+D13+D15)</f>
        <v>0.85300297935482294</v>
      </c>
      <c r="E16" s="50" t="s">
        <v>91</v>
      </c>
      <c r="G16" s="14"/>
      <c r="H16" s="15"/>
      <c r="I16" s="15"/>
      <c r="J16" s="59"/>
      <c r="K16" s="15"/>
    </row>
    <row r="18" spans="1:22" x14ac:dyDescent="0.2">
      <c r="A18" s="150" t="s">
        <v>217</v>
      </c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"/>
      <c r="R18" s="15"/>
      <c r="S18" s="15"/>
      <c r="T18" s="15"/>
      <c r="U18" s="15"/>
    </row>
    <row r="19" spans="1:22" x14ac:dyDescent="0.2">
      <c r="A19" s="4"/>
      <c r="B19" s="4">
        <v>1</v>
      </c>
      <c r="C19" s="4">
        <v>2</v>
      </c>
      <c r="D19" s="4">
        <v>3</v>
      </c>
      <c r="E19" s="4">
        <v>4</v>
      </c>
      <c r="F19" s="4">
        <v>5</v>
      </c>
      <c r="G19" s="4">
        <v>6</v>
      </c>
      <c r="H19" s="4">
        <v>7</v>
      </c>
      <c r="I19" s="4">
        <v>8</v>
      </c>
      <c r="J19" s="4">
        <v>9</v>
      </c>
      <c r="K19" s="4">
        <v>10</v>
      </c>
      <c r="L19" s="4">
        <v>11</v>
      </c>
      <c r="M19" s="4">
        <v>12</v>
      </c>
      <c r="N19" s="4">
        <v>13</v>
      </c>
      <c r="O19" s="4">
        <v>14</v>
      </c>
      <c r="P19" s="4">
        <v>15</v>
      </c>
      <c r="Q19" s="47">
        <v>16</v>
      </c>
      <c r="R19" s="47">
        <v>17</v>
      </c>
      <c r="S19" s="47">
        <v>18</v>
      </c>
      <c r="T19" s="47">
        <v>19</v>
      </c>
      <c r="U19" s="47">
        <v>20</v>
      </c>
    </row>
    <row r="20" spans="1:22" x14ac:dyDescent="0.2">
      <c r="A20" s="4" t="s">
        <v>78</v>
      </c>
      <c r="B20" s="40">
        <v>1</v>
      </c>
      <c r="C20" s="40">
        <v>0.96099999999999997</v>
      </c>
      <c r="D20" s="40">
        <v>0.93200000000000005</v>
      </c>
      <c r="E20" s="40">
        <v>0.90600000000000003</v>
      </c>
      <c r="F20" s="40">
        <v>0.88200000000000001</v>
      </c>
      <c r="G20" s="40">
        <v>0.86</v>
      </c>
      <c r="H20" s="40">
        <v>0.83899999999999997</v>
      </c>
      <c r="I20" s="40">
        <v>0.81899999999999995</v>
      </c>
      <c r="J20" s="40">
        <v>0.79900000000000004</v>
      </c>
      <c r="K20" s="40">
        <v>0.78</v>
      </c>
      <c r="L20" s="40">
        <v>0.76200000000000001</v>
      </c>
      <c r="M20" s="40">
        <v>0.74399999999999999</v>
      </c>
      <c r="N20" s="40">
        <v>0.72699999999999998</v>
      </c>
      <c r="O20" s="40">
        <v>0.70899999999999996</v>
      </c>
      <c r="P20" s="40">
        <v>0.69199999999999995</v>
      </c>
      <c r="Q20" s="40">
        <v>0.67600000000000005</v>
      </c>
      <c r="R20" s="40">
        <v>0.65900000000000003</v>
      </c>
      <c r="S20" s="40">
        <v>0.64300000000000002</v>
      </c>
      <c r="T20" s="40">
        <v>0.626</v>
      </c>
      <c r="U20" s="40">
        <v>0.61</v>
      </c>
    </row>
    <row r="21" spans="1:22" x14ac:dyDescent="0.2">
      <c r="A21" s="4" t="s">
        <v>79</v>
      </c>
      <c r="B21" s="42">
        <v>0.95199999999999996</v>
      </c>
      <c r="C21" s="42">
        <v>0.91700000000000004</v>
      </c>
      <c r="D21" s="42">
        <v>0.88600000000000001</v>
      </c>
      <c r="E21" s="42">
        <v>0.85799999999999998</v>
      </c>
      <c r="F21" s="42">
        <v>0.83099999999999996</v>
      </c>
      <c r="G21" s="42">
        <v>0.80600000000000005</v>
      </c>
      <c r="H21" s="42">
        <v>0.78200000000000003</v>
      </c>
      <c r="I21" s="42">
        <v>0.75800000000000001</v>
      </c>
      <c r="J21" s="42">
        <v>0.73599999999999999</v>
      </c>
      <c r="K21" s="42">
        <v>0.71399999999999997</v>
      </c>
      <c r="L21" s="42">
        <v>0.69199999999999995</v>
      </c>
      <c r="M21" s="42">
        <v>0.67100000000000004</v>
      </c>
      <c r="N21" s="42">
        <v>0.65</v>
      </c>
      <c r="O21" s="42">
        <v>0.63</v>
      </c>
      <c r="P21" s="42">
        <v>0.61</v>
      </c>
      <c r="Q21" s="42">
        <v>0.59</v>
      </c>
      <c r="R21" s="42">
        <v>0.56999999999999995</v>
      </c>
      <c r="S21" s="42">
        <v>0.55100000000000005</v>
      </c>
      <c r="T21" s="42">
        <v>0.53200000000000003</v>
      </c>
      <c r="U21" s="40">
        <v>0.51200000000000001</v>
      </c>
    </row>
    <row r="22" spans="1:22" x14ac:dyDescent="0.2">
      <c r="A22" s="5" t="s">
        <v>80</v>
      </c>
      <c r="B22" s="6">
        <f>(B20+B21)/2</f>
        <v>0.97599999999999998</v>
      </c>
      <c r="C22" s="6">
        <f t="shared" ref="C22:P22" si="0">(C20+C21)/2</f>
        <v>0.93900000000000006</v>
      </c>
      <c r="D22" s="6">
        <f t="shared" si="0"/>
        <v>0.90900000000000003</v>
      </c>
      <c r="E22" s="6">
        <f t="shared" si="0"/>
        <v>0.88200000000000001</v>
      </c>
      <c r="F22" s="6">
        <f t="shared" si="0"/>
        <v>0.85650000000000004</v>
      </c>
      <c r="G22" s="6">
        <f t="shared" si="0"/>
        <v>0.83299999999999996</v>
      </c>
      <c r="H22" s="6">
        <f t="shared" si="0"/>
        <v>0.8105</v>
      </c>
      <c r="I22" s="6">
        <f t="shared" si="0"/>
        <v>0.78849999999999998</v>
      </c>
      <c r="J22" s="6">
        <f t="shared" si="0"/>
        <v>0.76750000000000007</v>
      </c>
      <c r="K22" s="6">
        <f t="shared" si="0"/>
        <v>0.747</v>
      </c>
      <c r="L22" s="6">
        <f t="shared" si="0"/>
        <v>0.72699999999999998</v>
      </c>
      <c r="M22" s="6">
        <f t="shared" si="0"/>
        <v>0.70750000000000002</v>
      </c>
      <c r="N22" s="6">
        <f t="shared" si="0"/>
        <v>0.6885</v>
      </c>
      <c r="O22" s="6">
        <f t="shared" si="0"/>
        <v>0.66949999999999998</v>
      </c>
      <c r="P22" s="6">
        <f t="shared" si="0"/>
        <v>0.65100000000000002</v>
      </c>
      <c r="Q22" s="6">
        <f t="shared" ref="Q22:U22" si="1">(Q20+Q21)/2</f>
        <v>0.63300000000000001</v>
      </c>
      <c r="R22" s="6">
        <f t="shared" si="1"/>
        <v>0.61450000000000005</v>
      </c>
      <c r="S22" s="6">
        <f t="shared" si="1"/>
        <v>0.59699999999999998</v>
      </c>
      <c r="T22" s="6">
        <f t="shared" si="1"/>
        <v>0.57899999999999996</v>
      </c>
      <c r="U22" s="6">
        <f t="shared" si="1"/>
        <v>0.56099999999999994</v>
      </c>
    </row>
    <row r="23" spans="1:22" x14ac:dyDescent="0.2">
      <c r="A23" s="150" t="s">
        <v>232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"/>
      <c r="R23" s="15"/>
      <c r="S23" s="15"/>
      <c r="T23" s="15"/>
      <c r="U23" s="15"/>
    </row>
    <row r="24" spans="1:22" x14ac:dyDescent="0.2">
      <c r="A24" s="4"/>
      <c r="B24" s="4">
        <v>1</v>
      </c>
      <c r="C24" s="4">
        <v>2</v>
      </c>
      <c r="D24" s="4">
        <v>3</v>
      </c>
      <c r="E24" s="4">
        <v>4</v>
      </c>
      <c r="F24" s="4">
        <v>5</v>
      </c>
      <c r="G24" s="4">
        <v>6</v>
      </c>
      <c r="H24" s="4">
        <v>7</v>
      </c>
      <c r="I24" s="4">
        <v>8</v>
      </c>
      <c r="J24" s="4">
        <v>9</v>
      </c>
      <c r="K24" s="4">
        <v>10</v>
      </c>
      <c r="L24" s="4">
        <v>11</v>
      </c>
      <c r="M24" s="4">
        <v>12</v>
      </c>
      <c r="N24" s="4">
        <v>13</v>
      </c>
      <c r="O24" s="4">
        <v>14</v>
      </c>
      <c r="P24" s="4">
        <v>15</v>
      </c>
      <c r="Q24" s="47">
        <v>16</v>
      </c>
      <c r="R24" s="47">
        <v>17</v>
      </c>
      <c r="S24" s="47">
        <v>18</v>
      </c>
      <c r="T24" s="47">
        <v>19</v>
      </c>
      <c r="U24" s="47">
        <v>20</v>
      </c>
    </row>
    <row r="25" spans="1:22" x14ac:dyDescent="0.2">
      <c r="A25" s="4" t="s">
        <v>78</v>
      </c>
      <c r="B25" s="40">
        <v>1</v>
      </c>
      <c r="C25" s="40">
        <v>0.95900000000000007</v>
      </c>
      <c r="D25" s="40">
        <v>0.92989999999999995</v>
      </c>
      <c r="E25" s="40">
        <v>0.90383999999999987</v>
      </c>
      <c r="F25" s="40">
        <v>0.87980000000000003</v>
      </c>
      <c r="G25" s="40">
        <v>0.85776000000000008</v>
      </c>
      <c r="H25" s="40">
        <v>0.83672000000000002</v>
      </c>
      <c r="I25" s="40">
        <v>0.81668000000000007</v>
      </c>
      <c r="J25" s="40">
        <v>0.79664000000000013</v>
      </c>
      <c r="K25" s="40">
        <v>0.77599999999999991</v>
      </c>
      <c r="L25" s="40">
        <v>0.75600000000000012</v>
      </c>
      <c r="M25" s="40">
        <v>0.73599999999999999</v>
      </c>
      <c r="N25" s="40">
        <v>0.71700000000000008</v>
      </c>
      <c r="O25" s="40">
        <v>0.69700000000000017</v>
      </c>
      <c r="P25" s="40">
        <v>0.67799999999999994</v>
      </c>
      <c r="Q25" s="40">
        <v>0.66</v>
      </c>
      <c r="R25" s="40">
        <v>0.6392000000000001</v>
      </c>
      <c r="S25" s="40">
        <v>0.62032799999999999</v>
      </c>
      <c r="T25" s="40">
        <v>0.60289199999999998</v>
      </c>
      <c r="U25" s="40">
        <v>0.58623800000000004</v>
      </c>
      <c r="V25" s="1">
        <v>0.56958400000000009</v>
      </c>
    </row>
    <row r="26" spans="1:22" x14ac:dyDescent="0.2">
      <c r="A26" s="4" t="s">
        <v>79</v>
      </c>
      <c r="B26" s="42">
        <f>C25</f>
        <v>0.95900000000000007</v>
      </c>
      <c r="C26" s="42">
        <f t="shared" ref="C26:J26" si="2">D25</f>
        <v>0.92989999999999995</v>
      </c>
      <c r="D26" s="42">
        <f t="shared" si="2"/>
        <v>0.90383999999999987</v>
      </c>
      <c r="E26" s="42">
        <f t="shared" si="2"/>
        <v>0.87980000000000003</v>
      </c>
      <c r="F26" s="42">
        <f t="shared" si="2"/>
        <v>0.85776000000000008</v>
      </c>
      <c r="G26" s="42">
        <f t="shared" si="2"/>
        <v>0.83672000000000002</v>
      </c>
      <c r="H26" s="42">
        <f t="shared" si="2"/>
        <v>0.81668000000000007</v>
      </c>
      <c r="I26" s="42">
        <f t="shared" si="2"/>
        <v>0.79664000000000013</v>
      </c>
      <c r="J26" s="42">
        <f t="shared" si="2"/>
        <v>0.77599999999999991</v>
      </c>
      <c r="K26" s="42">
        <f t="shared" ref="K26:Q26" si="3">L25</f>
        <v>0.75600000000000012</v>
      </c>
      <c r="L26" s="42">
        <f t="shared" si="3"/>
        <v>0.73599999999999999</v>
      </c>
      <c r="M26" s="42">
        <f t="shared" si="3"/>
        <v>0.71700000000000008</v>
      </c>
      <c r="N26" s="42">
        <f t="shared" si="3"/>
        <v>0.69700000000000017</v>
      </c>
      <c r="O26" s="42">
        <f t="shared" si="3"/>
        <v>0.67799999999999994</v>
      </c>
      <c r="P26" s="42">
        <f t="shared" si="3"/>
        <v>0.66</v>
      </c>
      <c r="Q26" s="42">
        <f t="shared" si="3"/>
        <v>0.6392000000000001</v>
      </c>
      <c r="R26" s="42">
        <f t="shared" ref="R26:T26" si="4">S25</f>
        <v>0.62032799999999999</v>
      </c>
      <c r="S26" s="42">
        <f t="shared" si="4"/>
        <v>0.60289199999999998</v>
      </c>
      <c r="T26" s="42">
        <f t="shared" si="4"/>
        <v>0.58623800000000004</v>
      </c>
      <c r="U26" s="40">
        <v>0.56958399999999998</v>
      </c>
    </row>
    <row r="27" spans="1:22" x14ac:dyDescent="0.2">
      <c r="A27" s="5" t="s">
        <v>80</v>
      </c>
      <c r="B27" s="6">
        <f>(B25+B26)/2</f>
        <v>0.97950000000000004</v>
      </c>
      <c r="C27" s="6">
        <f t="shared" ref="C27" si="5">(C25+C26)/2</f>
        <v>0.94445000000000001</v>
      </c>
      <c r="D27" s="6">
        <f t="shared" ref="D27" si="6">(D25+D26)/2</f>
        <v>0.91686999999999985</v>
      </c>
      <c r="E27" s="6">
        <f t="shared" ref="E27" si="7">(E25+E26)/2</f>
        <v>0.89181999999999995</v>
      </c>
      <c r="F27" s="6">
        <f t="shared" ref="F27" si="8">(F25+F26)/2</f>
        <v>0.86878000000000011</v>
      </c>
      <c r="G27" s="6">
        <f t="shared" ref="G27" si="9">(G25+G26)/2</f>
        <v>0.84723999999999999</v>
      </c>
      <c r="H27" s="6">
        <f t="shared" ref="H27" si="10">(H25+H26)/2</f>
        <v>0.82669999999999999</v>
      </c>
      <c r="I27" s="6">
        <f t="shared" ref="I27" si="11">(I25+I26)/2</f>
        <v>0.80666000000000015</v>
      </c>
      <c r="J27" s="6">
        <f t="shared" ref="J27" si="12">(J25+J26)/2</f>
        <v>0.78632000000000002</v>
      </c>
      <c r="K27" s="6">
        <f t="shared" ref="K27" si="13">(K25+K26)/2</f>
        <v>0.76600000000000001</v>
      </c>
      <c r="L27" s="6">
        <f t="shared" ref="L27:U27" si="14">(L25+L26)/2</f>
        <v>0.746</v>
      </c>
      <c r="M27" s="6">
        <f t="shared" si="14"/>
        <v>0.72650000000000003</v>
      </c>
      <c r="N27" s="6">
        <f t="shared" si="14"/>
        <v>0.70700000000000007</v>
      </c>
      <c r="O27" s="6">
        <f t="shared" si="14"/>
        <v>0.6875</v>
      </c>
      <c r="P27" s="6">
        <f t="shared" si="14"/>
        <v>0.66900000000000004</v>
      </c>
      <c r="Q27" s="6">
        <f t="shared" si="14"/>
        <v>0.64960000000000007</v>
      </c>
      <c r="R27" s="6">
        <f t="shared" si="14"/>
        <v>0.62976399999999999</v>
      </c>
      <c r="S27" s="6">
        <f t="shared" si="14"/>
        <v>0.61160999999999999</v>
      </c>
      <c r="T27" s="6">
        <f t="shared" si="14"/>
        <v>0.59456500000000001</v>
      </c>
      <c r="U27" s="6">
        <f t="shared" si="14"/>
        <v>0.57791100000000006</v>
      </c>
    </row>
    <row r="28" spans="1:22" x14ac:dyDescent="0.2">
      <c r="A28" s="150" t="s">
        <v>219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"/>
      <c r="R28" s="15"/>
      <c r="S28" s="15"/>
      <c r="T28" s="15"/>
      <c r="U28" s="15"/>
    </row>
    <row r="29" spans="1:22" x14ac:dyDescent="0.2">
      <c r="A29" s="45"/>
      <c r="B29" s="45">
        <v>1</v>
      </c>
      <c r="C29" s="45">
        <v>2</v>
      </c>
      <c r="D29" s="45">
        <v>3</v>
      </c>
      <c r="E29" s="45">
        <v>4</v>
      </c>
      <c r="F29" s="45">
        <v>5</v>
      </c>
      <c r="G29" s="45">
        <v>6</v>
      </c>
      <c r="H29" s="45">
        <v>7</v>
      </c>
      <c r="I29" s="45">
        <v>8</v>
      </c>
      <c r="J29" s="45">
        <v>9</v>
      </c>
      <c r="K29" s="45">
        <v>10</v>
      </c>
      <c r="L29" s="45">
        <v>11</v>
      </c>
      <c r="M29" s="45">
        <v>12</v>
      </c>
      <c r="N29" s="45">
        <v>13</v>
      </c>
      <c r="O29" s="45">
        <v>14</v>
      </c>
      <c r="P29" s="45">
        <v>15</v>
      </c>
      <c r="Q29" s="47">
        <v>16</v>
      </c>
      <c r="R29" s="47">
        <v>17</v>
      </c>
      <c r="S29" s="47">
        <v>18</v>
      </c>
      <c r="T29" s="47">
        <v>19</v>
      </c>
      <c r="U29" s="47">
        <v>20</v>
      </c>
    </row>
    <row r="30" spans="1:22" x14ac:dyDescent="0.2">
      <c r="A30" s="45" t="s">
        <v>78</v>
      </c>
      <c r="B30" s="40">
        <v>1</v>
      </c>
      <c r="C30" s="40">
        <v>0.96</v>
      </c>
      <c r="D30" s="40">
        <v>0.93095000000000006</v>
      </c>
      <c r="E30" s="40">
        <v>0.90491999999999995</v>
      </c>
      <c r="F30" s="40">
        <v>0.88090000000000002</v>
      </c>
      <c r="G30" s="40">
        <v>0.85887999999999998</v>
      </c>
      <c r="H30" s="40">
        <v>0.83786000000000005</v>
      </c>
      <c r="I30" s="40">
        <v>0.81784000000000001</v>
      </c>
      <c r="J30" s="40">
        <v>0.79781999999999997</v>
      </c>
      <c r="K30" s="40">
        <v>0.77800000000000002</v>
      </c>
      <c r="L30" s="40">
        <v>0.75900000000000001</v>
      </c>
      <c r="M30" s="40">
        <v>0.74</v>
      </c>
      <c r="N30" s="40">
        <v>0.72199999999999998</v>
      </c>
      <c r="O30" s="40">
        <v>0.70299999999999996</v>
      </c>
      <c r="P30" s="40">
        <v>0.68500000000000005</v>
      </c>
      <c r="Q30" s="40">
        <v>0.66800000000000004</v>
      </c>
      <c r="R30" s="40">
        <v>0.64810000000000001</v>
      </c>
      <c r="S30" s="40">
        <v>0.63444599999999995</v>
      </c>
      <c r="T30" s="40">
        <v>0.61444600000000005</v>
      </c>
      <c r="U30" s="40">
        <v>0.59811899999999996</v>
      </c>
    </row>
    <row r="31" spans="1:22" x14ac:dyDescent="0.2">
      <c r="A31" s="45" t="s">
        <v>79</v>
      </c>
      <c r="B31" s="42">
        <f>C30</f>
        <v>0.96</v>
      </c>
      <c r="C31" s="42">
        <f t="shared" ref="C31" si="15">D30</f>
        <v>0.93095000000000006</v>
      </c>
      <c r="D31" s="42">
        <f t="shared" ref="D31" si="16">E30</f>
        <v>0.90491999999999995</v>
      </c>
      <c r="E31" s="42">
        <f t="shared" ref="E31" si="17">F30</f>
        <v>0.88090000000000002</v>
      </c>
      <c r="F31" s="42">
        <f t="shared" ref="F31" si="18">G30</f>
        <v>0.85887999999999998</v>
      </c>
      <c r="G31" s="42">
        <f t="shared" ref="G31" si="19">H30</f>
        <v>0.83786000000000005</v>
      </c>
      <c r="H31" s="42">
        <f t="shared" ref="H31" si="20">I30</f>
        <v>0.81784000000000001</v>
      </c>
      <c r="I31" s="42">
        <f t="shared" ref="I31" si="21">J30</f>
        <v>0.79781999999999997</v>
      </c>
      <c r="J31" s="42">
        <f t="shared" ref="J31" si="22">K30</f>
        <v>0.77800000000000002</v>
      </c>
      <c r="K31" s="42">
        <f t="shared" ref="K31" si="23">L30</f>
        <v>0.75900000000000001</v>
      </c>
      <c r="L31" s="42">
        <f t="shared" ref="L31" si="24">M30</f>
        <v>0.74</v>
      </c>
      <c r="M31" s="42">
        <f t="shared" ref="M31" si="25">N30</f>
        <v>0.72199999999999998</v>
      </c>
      <c r="N31" s="42">
        <f t="shared" ref="N31" si="26">O30</f>
        <v>0.70299999999999996</v>
      </c>
      <c r="O31" s="42">
        <f t="shared" ref="O31" si="27">P30</f>
        <v>0.68500000000000005</v>
      </c>
      <c r="P31" s="42">
        <f>Q30</f>
        <v>0.66800000000000004</v>
      </c>
      <c r="Q31" s="42">
        <f t="shared" ref="Q31:R31" si="28">R30</f>
        <v>0.64810000000000001</v>
      </c>
      <c r="R31" s="42">
        <f t="shared" si="28"/>
        <v>0.63444599999999995</v>
      </c>
      <c r="S31" s="42">
        <f t="shared" ref="S31:T31" si="29">T30</f>
        <v>0.61444600000000005</v>
      </c>
      <c r="T31" s="42">
        <f t="shared" si="29"/>
        <v>0.59811899999999996</v>
      </c>
      <c r="U31" s="40">
        <v>0.58179199999999998</v>
      </c>
    </row>
    <row r="32" spans="1:22" x14ac:dyDescent="0.2">
      <c r="A32" s="46" t="s">
        <v>80</v>
      </c>
      <c r="B32" s="6">
        <f>(B30+B31)/2</f>
        <v>0.98</v>
      </c>
      <c r="C32" s="6">
        <f t="shared" ref="C32:P32" si="30">(C30+C31)/2</f>
        <v>0.94547500000000007</v>
      </c>
      <c r="D32" s="6">
        <f t="shared" si="30"/>
        <v>0.91793499999999995</v>
      </c>
      <c r="E32" s="6">
        <f t="shared" si="30"/>
        <v>0.89290999999999998</v>
      </c>
      <c r="F32" s="6">
        <f t="shared" si="30"/>
        <v>0.86989000000000005</v>
      </c>
      <c r="G32" s="6">
        <f t="shared" si="30"/>
        <v>0.84837000000000007</v>
      </c>
      <c r="H32" s="6">
        <f t="shared" si="30"/>
        <v>0.82784999999999997</v>
      </c>
      <c r="I32" s="6">
        <f t="shared" si="30"/>
        <v>0.80783000000000005</v>
      </c>
      <c r="J32" s="6">
        <f t="shared" si="30"/>
        <v>0.78791</v>
      </c>
      <c r="K32" s="6">
        <f t="shared" si="30"/>
        <v>0.76849999999999996</v>
      </c>
      <c r="L32" s="6">
        <f t="shared" si="30"/>
        <v>0.74950000000000006</v>
      </c>
      <c r="M32" s="6">
        <f t="shared" si="30"/>
        <v>0.73099999999999998</v>
      </c>
      <c r="N32" s="6">
        <f t="shared" si="30"/>
        <v>0.71249999999999991</v>
      </c>
      <c r="O32" s="6">
        <f t="shared" si="30"/>
        <v>0.69399999999999995</v>
      </c>
      <c r="P32" s="6">
        <f t="shared" si="30"/>
        <v>0.6765000000000001</v>
      </c>
      <c r="Q32" s="6">
        <f t="shared" ref="Q32:U32" si="31">(Q30+Q31)/2</f>
        <v>0.65805000000000002</v>
      </c>
      <c r="R32" s="6">
        <f t="shared" si="31"/>
        <v>0.64127299999999998</v>
      </c>
      <c r="S32" s="6">
        <f t="shared" si="31"/>
        <v>0.62444600000000006</v>
      </c>
      <c r="T32" s="6">
        <f t="shared" si="31"/>
        <v>0.60628250000000006</v>
      </c>
      <c r="U32" s="6">
        <f t="shared" si="31"/>
        <v>0.58995549999999997</v>
      </c>
    </row>
    <row r="33" spans="1:22" x14ac:dyDescent="0.2">
      <c r="A33" s="150" t="s">
        <v>221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"/>
      <c r="R33" s="15"/>
      <c r="S33" s="15"/>
      <c r="T33" s="15"/>
      <c r="U33" s="15"/>
    </row>
    <row r="34" spans="1:22" x14ac:dyDescent="0.2">
      <c r="A34" s="45"/>
      <c r="B34" s="45">
        <v>1</v>
      </c>
      <c r="C34" s="45">
        <v>2</v>
      </c>
      <c r="D34" s="45">
        <v>3</v>
      </c>
      <c r="E34" s="45">
        <v>4</v>
      </c>
      <c r="F34" s="45">
        <v>5</v>
      </c>
      <c r="G34" s="45">
        <v>6</v>
      </c>
      <c r="H34" s="45">
        <v>7</v>
      </c>
      <c r="I34" s="45">
        <v>8</v>
      </c>
      <c r="J34" s="45">
        <v>9</v>
      </c>
      <c r="K34" s="45">
        <v>10</v>
      </c>
      <c r="L34" s="45">
        <v>11</v>
      </c>
      <c r="M34" s="45">
        <v>12</v>
      </c>
      <c r="N34" s="45">
        <v>13</v>
      </c>
      <c r="O34" s="45">
        <v>14</v>
      </c>
      <c r="P34" s="45">
        <v>15</v>
      </c>
      <c r="Q34" s="47">
        <v>16</v>
      </c>
      <c r="R34" s="47">
        <v>17</v>
      </c>
      <c r="S34" s="47">
        <v>18</v>
      </c>
      <c r="T34" s="47">
        <v>19</v>
      </c>
      <c r="U34" s="47">
        <v>20</v>
      </c>
    </row>
    <row r="35" spans="1:22" x14ac:dyDescent="0.2">
      <c r="A35" s="45" t="s">
        <v>78</v>
      </c>
      <c r="B35" s="40">
        <v>1</v>
      </c>
      <c r="C35" s="40">
        <v>0.96399999999999997</v>
      </c>
      <c r="D35" s="40">
        <v>0.93762999999999996</v>
      </c>
      <c r="E35" s="40">
        <v>0.91293999999999997</v>
      </c>
      <c r="F35" s="40">
        <v>0.88992499999999997</v>
      </c>
      <c r="G35" s="40">
        <v>0.86862799999999996</v>
      </c>
      <c r="H35" s="40">
        <v>0.84862800000000005</v>
      </c>
      <c r="I35" s="40">
        <v>0.83187999999999995</v>
      </c>
      <c r="J35" s="40">
        <v>0.81288000000000005</v>
      </c>
      <c r="K35" s="40">
        <v>0.79684999999999995</v>
      </c>
      <c r="L35" s="40">
        <v>0.778756</v>
      </c>
      <c r="M35" s="40">
        <v>0.76285000000000003</v>
      </c>
      <c r="N35" s="40">
        <v>0.75013300000000005</v>
      </c>
      <c r="O35" s="40">
        <v>0.73575999999999997</v>
      </c>
      <c r="P35" s="40">
        <v>0.72370000000000001</v>
      </c>
      <c r="Q35" s="40">
        <v>0.71362499999999995</v>
      </c>
      <c r="R35" s="40">
        <v>0.69840000000000002</v>
      </c>
      <c r="S35" s="40">
        <v>0.68633999999999995</v>
      </c>
      <c r="T35" s="40">
        <v>0.67012799999999995</v>
      </c>
      <c r="U35" s="40">
        <v>0.65491600000000005</v>
      </c>
    </row>
    <row r="36" spans="1:22" x14ac:dyDescent="0.2">
      <c r="A36" s="45" t="s">
        <v>79</v>
      </c>
      <c r="B36" s="42">
        <f>C35</f>
        <v>0.96399999999999997</v>
      </c>
      <c r="C36" s="42">
        <f t="shared" ref="C36" si="32">D35</f>
        <v>0.93762999999999996</v>
      </c>
      <c r="D36" s="42">
        <f t="shared" ref="D36" si="33">E35</f>
        <v>0.91293999999999997</v>
      </c>
      <c r="E36" s="42">
        <f t="shared" ref="E36" si="34">F35</f>
        <v>0.88992499999999997</v>
      </c>
      <c r="F36" s="42">
        <f t="shared" ref="F36" si="35">G35</f>
        <v>0.86862799999999996</v>
      </c>
      <c r="G36" s="42">
        <f t="shared" ref="G36" si="36">H35</f>
        <v>0.84862800000000005</v>
      </c>
      <c r="H36" s="42">
        <f t="shared" ref="H36" si="37">I35</f>
        <v>0.83187999999999995</v>
      </c>
      <c r="I36" s="42">
        <f t="shared" ref="I36" si="38">J35</f>
        <v>0.81288000000000005</v>
      </c>
      <c r="J36" s="42">
        <f t="shared" ref="J36" si="39">K35</f>
        <v>0.79684999999999995</v>
      </c>
      <c r="K36" s="42">
        <f t="shared" ref="K36" si="40">L35</f>
        <v>0.778756</v>
      </c>
      <c r="L36" s="42">
        <f t="shared" ref="L36" si="41">M35</f>
        <v>0.76285000000000003</v>
      </c>
      <c r="M36" s="42">
        <f t="shared" ref="M36" si="42">N35</f>
        <v>0.75013300000000005</v>
      </c>
      <c r="N36" s="42">
        <f t="shared" ref="N36" si="43">O35</f>
        <v>0.73575999999999997</v>
      </c>
      <c r="O36" s="42">
        <f t="shared" ref="O36" si="44">P35</f>
        <v>0.72370000000000001</v>
      </c>
      <c r="P36" s="42">
        <f>Q35</f>
        <v>0.71362499999999995</v>
      </c>
      <c r="Q36" s="42">
        <f t="shared" ref="Q36:R36" si="45">R35</f>
        <v>0.69840000000000002</v>
      </c>
      <c r="R36" s="42">
        <f t="shared" si="45"/>
        <v>0.68633999999999995</v>
      </c>
      <c r="S36" s="42">
        <f t="shared" ref="S36:T36" si="46">T35</f>
        <v>0.67012799999999995</v>
      </c>
      <c r="T36" s="42">
        <f t="shared" si="46"/>
        <v>0.65491600000000005</v>
      </c>
      <c r="U36" s="40">
        <v>0.63970400000000005</v>
      </c>
    </row>
    <row r="37" spans="1:22" x14ac:dyDescent="0.2">
      <c r="A37" s="46" t="s">
        <v>80</v>
      </c>
      <c r="B37" s="6">
        <f>(B35+B36)/2</f>
        <v>0.98199999999999998</v>
      </c>
      <c r="C37" s="6">
        <f t="shared" ref="C37:P37" si="47">(C35+C36)/2</f>
        <v>0.95081499999999997</v>
      </c>
      <c r="D37" s="6">
        <f t="shared" si="47"/>
        <v>0.92528499999999991</v>
      </c>
      <c r="E37" s="6">
        <f t="shared" si="47"/>
        <v>0.90143249999999997</v>
      </c>
      <c r="F37" s="6">
        <f t="shared" si="47"/>
        <v>0.87927650000000002</v>
      </c>
      <c r="G37" s="6">
        <f t="shared" si="47"/>
        <v>0.85862799999999995</v>
      </c>
      <c r="H37" s="6">
        <f t="shared" si="47"/>
        <v>0.84025400000000006</v>
      </c>
      <c r="I37" s="6">
        <f t="shared" si="47"/>
        <v>0.82238</v>
      </c>
      <c r="J37" s="6">
        <f t="shared" si="47"/>
        <v>0.80486499999999994</v>
      </c>
      <c r="K37" s="6">
        <f t="shared" si="47"/>
        <v>0.78780300000000003</v>
      </c>
      <c r="L37" s="6">
        <f t="shared" si="47"/>
        <v>0.77080300000000002</v>
      </c>
      <c r="M37" s="6">
        <f t="shared" si="47"/>
        <v>0.75649150000000009</v>
      </c>
      <c r="N37" s="6">
        <f t="shared" si="47"/>
        <v>0.74294649999999995</v>
      </c>
      <c r="O37" s="6">
        <f t="shared" si="47"/>
        <v>0.72972999999999999</v>
      </c>
      <c r="P37" s="6">
        <f t="shared" si="47"/>
        <v>0.71866249999999998</v>
      </c>
      <c r="Q37" s="6">
        <f t="shared" ref="Q37:U37" si="48">(Q35+Q36)/2</f>
        <v>0.70601249999999993</v>
      </c>
      <c r="R37" s="6">
        <f t="shared" si="48"/>
        <v>0.69236999999999993</v>
      </c>
      <c r="S37" s="6">
        <f t="shared" si="48"/>
        <v>0.678234</v>
      </c>
      <c r="T37" s="6">
        <f t="shared" si="48"/>
        <v>0.66252200000000006</v>
      </c>
      <c r="U37" s="6">
        <f t="shared" si="48"/>
        <v>0.64731000000000005</v>
      </c>
    </row>
    <row r="38" spans="1:22" x14ac:dyDescent="0.2">
      <c r="A38" s="150" t="s">
        <v>223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"/>
      <c r="R38" s="15"/>
      <c r="S38" s="15"/>
      <c r="T38" s="15"/>
      <c r="U38" s="15"/>
    </row>
    <row r="39" spans="1:22" x14ac:dyDescent="0.2">
      <c r="A39" s="45"/>
      <c r="B39" s="45">
        <v>1</v>
      </c>
      <c r="C39" s="45">
        <v>2</v>
      </c>
      <c r="D39" s="45">
        <v>3</v>
      </c>
      <c r="E39" s="45">
        <v>4</v>
      </c>
      <c r="F39" s="45">
        <v>5</v>
      </c>
      <c r="G39" s="45">
        <v>6</v>
      </c>
      <c r="H39" s="45">
        <v>7</v>
      </c>
      <c r="I39" s="45">
        <v>8</v>
      </c>
      <c r="J39" s="45">
        <v>9</v>
      </c>
      <c r="K39" s="45">
        <v>10</v>
      </c>
      <c r="L39" s="45">
        <v>11</v>
      </c>
      <c r="M39" s="45">
        <v>12</v>
      </c>
      <c r="N39" s="45">
        <v>13</v>
      </c>
      <c r="O39" s="45">
        <v>14</v>
      </c>
      <c r="P39" s="45">
        <v>15</v>
      </c>
      <c r="Q39" s="47">
        <v>16</v>
      </c>
      <c r="R39" s="47">
        <v>17</v>
      </c>
      <c r="S39" s="47">
        <v>18</v>
      </c>
      <c r="T39" s="47">
        <v>19</v>
      </c>
      <c r="U39" s="47">
        <v>20</v>
      </c>
    </row>
    <row r="40" spans="1:22" x14ac:dyDescent="0.2">
      <c r="A40" s="45" t="s">
        <v>78</v>
      </c>
      <c r="B40" s="40">
        <v>1</v>
      </c>
      <c r="C40" s="40">
        <v>0.96099999999999997</v>
      </c>
      <c r="D40" s="40">
        <v>0.93200000000000005</v>
      </c>
      <c r="E40" s="40">
        <v>0.90600000000000003</v>
      </c>
      <c r="F40" s="40">
        <v>0.88200000000000001</v>
      </c>
      <c r="G40" s="40">
        <v>0.86</v>
      </c>
      <c r="H40" s="40">
        <v>0.83899999999999997</v>
      </c>
      <c r="I40" s="40">
        <v>0.81899999999999995</v>
      </c>
      <c r="J40" s="40">
        <v>0.79900000000000004</v>
      </c>
      <c r="K40" s="40">
        <v>0.78</v>
      </c>
      <c r="L40" s="40">
        <v>0.76200000000000001</v>
      </c>
      <c r="M40" s="40">
        <v>0.74399999999999999</v>
      </c>
      <c r="N40" s="40">
        <v>0.72699999999999998</v>
      </c>
      <c r="O40" s="40">
        <v>0.70899999999999996</v>
      </c>
      <c r="P40" s="40">
        <v>0.69199999999999995</v>
      </c>
      <c r="Q40" s="40">
        <v>0.67600000000000005</v>
      </c>
      <c r="R40" s="40">
        <v>0.65900000000000003</v>
      </c>
      <c r="S40" s="40">
        <v>0.64300000000000002</v>
      </c>
      <c r="T40" s="40">
        <v>0.626</v>
      </c>
      <c r="U40" s="40">
        <v>0.61</v>
      </c>
    </row>
    <row r="41" spans="1:22" x14ac:dyDescent="0.2">
      <c r="A41" s="45" t="s">
        <v>79</v>
      </c>
      <c r="B41" s="42">
        <f>C40</f>
        <v>0.96099999999999997</v>
      </c>
      <c r="C41" s="42">
        <f t="shared" ref="C41" si="49">D40</f>
        <v>0.93200000000000005</v>
      </c>
      <c r="D41" s="42">
        <f t="shared" ref="D41" si="50">E40</f>
        <v>0.90600000000000003</v>
      </c>
      <c r="E41" s="42">
        <f t="shared" ref="E41" si="51">F40</f>
        <v>0.88200000000000001</v>
      </c>
      <c r="F41" s="42">
        <f t="shared" ref="F41" si="52">G40</f>
        <v>0.86</v>
      </c>
      <c r="G41" s="42">
        <f t="shared" ref="G41" si="53">H40</f>
        <v>0.83899999999999997</v>
      </c>
      <c r="H41" s="42">
        <f t="shared" ref="H41" si="54">I40</f>
        <v>0.81899999999999995</v>
      </c>
      <c r="I41" s="42">
        <f t="shared" ref="I41" si="55">J40</f>
        <v>0.79900000000000004</v>
      </c>
      <c r="J41" s="42">
        <f t="shared" ref="J41" si="56">K40</f>
        <v>0.78</v>
      </c>
      <c r="K41" s="42">
        <f t="shared" ref="K41" si="57">L40</f>
        <v>0.76200000000000001</v>
      </c>
      <c r="L41" s="42">
        <f t="shared" ref="L41" si="58">M40</f>
        <v>0.74399999999999999</v>
      </c>
      <c r="M41" s="42">
        <f t="shared" ref="M41" si="59">N40</f>
        <v>0.72699999999999998</v>
      </c>
      <c r="N41" s="42">
        <f t="shared" ref="N41" si="60">O40</f>
        <v>0.70899999999999996</v>
      </c>
      <c r="O41" s="42">
        <f t="shared" ref="O41" si="61">P40</f>
        <v>0.69199999999999995</v>
      </c>
      <c r="P41" s="42">
        <f>Q40</f>
        <v>0.67600000000000005</v>
      </c>
      <c r="Q41" s="42">
        <f t="shared" ref="Q41:R41" si="62">R40</f>
        <v>0.65900000000000003</v>
      </c>
      <c r="R41" s="42">
        <f t="shared" si="62"/>
        <v>0.64300000000000002</v>
      </c>
      <c r="S41" s="42">
        <f t="shared" ref="S41:T41" si="63">T40</f>
        <v>0.626</v>
      </c>
      <c r="T41" s="42">
        <f t="shared" si="63"/>
        <v>0.61</v>
      </c>
      <c r="U41" s="40">
        <v>0.59399999999999997</v>
      </c>
    </row>
    <row r="42" spans="1:22" x14ac:dyDescent="0.2">
      <c r="A42" s="46" t="s">
        <v>80</v>
      </c>
      <c r="B42" s="6">
        <f>(B40+B41)/2</f>
        <v>0.98049999999999993</v>
      </c>
      <c r="C42" s="6">
        <f t="shared" ref="C42:P42" si="64">(C40+C41)/2</f>
        <v>0.94650000000000001</v>
      </c>
      <c r="D42" s="6">
        <f t="shared" si="64"/>
        <v>0.91900000000000004</v>
      </c>
      <c r="E42" s="6">
        <f t="shared" si="64"/>
        <v>0.89400000000000002</v>
      </c>
      <c r="F42" s="6">
        <f t="shared" si="64"/>
        <v>0.871</v>
      </c>
      <c r="G42" s="6">
        <f t="shared" si="64"/>
        <v>0.84949999999999992</v>
      </c>
      <c r="H42" s="6">
        <f t="shared" si="64"/>
        <v>0.82899999999999996</v>
      </c>
      <c r="I42" s="6">
        <f t="shared" si="64"/>
        <v>0.80899999999999994</v>
      </c>
      <c r="J42" s="6">
        <f t="shared" si="64"/>
        <v>0.78950000000000009</v>
      </c>
      <c r="K42" s="6">
        <f t="shared" si="64"/>
        <v>0.77100000000000002</v>
      </c>
      <c r="L42" s="6">
        <f t="shared" si="64"/>
        <v>0.753</v>
      </c>
      <c r="M42" s="6">
        <f t="shared" si="64"/>
        <v>0.73550000000000004</v>
      </c>
      <c r="N42" s="6">
        <f t="shared" si="64"/>
        <v>0.71799999999999997</v>
      </c>
      <c r="O42" s="6">
        <f t="shared" si="64"/>
        <v>0.7004999999999999</v>
      </c>
      <c r="P42" s="6">
        <f t="shared" si="64"/>
        <v>0.68399999999999994</v>
      </c>
      <c r="Q42" s="6">
        <f t="shared" ref="Q42:U42" si="65">(Q40+Q41)/2</f>
        <v>0.66749999999999998</v>
      </c>
      <c r="R42" s="6">
        <f t="shared" si="65"/>
        <v>0.65100000000000002</v>
      </c>
      <c r="S42" s="6">
        <f t="shared" si="65"/>
        <v>0.63450000000000006</v>
      </c>
      <c r="T42" s="6">
        <f t="shared" si="65"/>
        <v>0.61799999999999999</v>
      </c>
      <c r="U42" s="6">
        <f t="shared" si="65"/>
        <v>0.60199999999999998</v>
      </c>
    </row>
    <row r="43" spans="1:22" x14ac:dyDescent="0.2">
      <c r="A43" s="150" t="s">
        <v>276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"/>
      <c r="R43" s="15"/>
      <c r="S43" s="15"/>
      <c r="T43" s="15"/>
      <c r="U43" s="15"/>
    </row>
    <row r="44" spans="1:22" x14ac:dyDescent="0.2">
      <c r="A44" s="68"/>
      <c r="B44" s="68">
        <v>1</v>
      </c>
      <c r="C44" s="68">
        <v>2</v>
      </c>
      <c r="D44" s="68">
        <v>3</v>
      </c>
      <c r="E44" s="68">
        <v>4</v>
      </c>
      <c r="F44" s="68">
        <v>5</v>
      </c>
      <c r="G44" s="68">
        <v>6</v>
      </c>
      <c r="H44" s="68">
        <v>7</v>
      </c>
      <c r="I44" s="68">
        <v>8</v>
      </c>
      <c r="J44" s="68">
        <v>9</v>
      </c>
      <c r="K44" s="68">
        <v>10</v>
      </c>
      <c r="L44" s="68">
        <v>11</v>
      </c>
      <c r="M44" s="68">
        <v>12</v>
      </c>
      <c r="N44" s="68">
        <v>13</v>
      </c>
      <c r="O44" s="68">
        <v>14</v>
      </c>
      <c r="P44" s="68">
        <v>15</v>
      </c>
      <c r="Q44" s="68">
        <v>16</v>
      </c>
      <c r="R44" s="68">
        <v>17</v>
      </c>
      <c r="S44" s="68">
        <v>18</v>
      </c>
      <c r="T44" s="68">
        <v>19</v>
      </c>
      <c r="U44" s="68">
        <v>20</v>
      </c>
      <c r="V44" s="69"/>
    </row>
    <row r="45" spans="1:22" x14ac:dyDescent="0.2">
      <c r="A45" s="68" t="s">
        <v>78</v>
      </c>
      <c r="B45" s="40">
        <v>1</v>
      </c>
      <c r="C45" s="40">
        <v>0.97799999999999998</v>
      </c>
      <c r="D45" s="40">
        <v>0.95499999999999996</v>
      </c>
      <c r="E45" s="40">
        <v>0.93400000000000005</v>
      </c>
      <c r="F45" s="40">
        <v>0.91400000000000003</v>
      </c>
      <c r="G45" s="40">
        <v>0.89500000000000002</v>
      </c>
      <c r="H45" s="40">
        <v>0.877</v>
      </c>
      <c r="I45" s="40">
        <v>0.85799999999999998</v>
      </c>
      <c r="J45" s="40">
        <v>0.84099999999999997</v>
      </c>
      <c r="K45" s="40">
        <v>0.82299999999999995</v>
      </c>
      <c r="L45" s="40">
        <v>0.80600000000000005</v>
      </c>
      <c r="M45" s="40">
        <v>0.78900000000000003</v>
      </c>
      <c r="N45" s="40">
        <v>0.77300000000000002</v>
      </c>
      <c r="O45" s="40">
        <v>0.75600000000000001</v>
      </c>
      <c r="P45" s="40">
        <v>0.74</v>
      </c>
      <c r="Q45" s="40">
        <v>0.72399999999999998</v>
      </c>
      <c r="R45" s="40">
        <v>0.70799999999999996</v>
      </c>
      <c r="S45" s="40">
        <v>0.69199999999999995</v>
      </c>
      <c r="T45" s="40">
        <v>0.67600000000000005</v>
      </c>
      <c r="U45" s="40">
        <v>0.66</v>
      </c>
      <c r="V45" s="69"/>
    </row>
    <row r="46" spans="1:22" x14ac:dyDescent="0.2">
      <c r="A46" s="68" t="s">
        <v>79</v>
      </c>
      <c r="B46" s="42">
        <v>0.98099999999999998</v>
      </c>
      <c r="C46" s="42">
        <v>0.96099999999999997</v>
      </c>
      <c r="D46" s="42">
        <v>0.94299999999999995</v>
      </c>
      <c r="E46" s="42">
        <v>0.92500000000000004</v>
      </c>
      <c r="F46" s="42">
        <v>0.90700000000000003</v>
      </c>
      <c r="G46" s="42">
        <v>0.89</v>
      </c>
      <c r="H46" s="42">
        <v>0.874</v>
      </c>
      <c r="I46" s="42">
        <v>0.85699999999999998</v>
      </c>
      <c r="J46" s="42">
        <v>0.84099999999999997</v>
      </c>
      <c r="K46" s="42">
        <v>0.82599999999999996</v>
      </c>
      <c r="L46" s="42">
        <v>0.81</v>
      </c>
      <c r="M46" s="42">
        <v>0.79500000000000004</v>
      </c>
      <c r="N46" s="42">
        <v>0.77900000000000003</v>
      </c>
      <c r="O46" s="42">
        <v>0.76400000000000001</v>
      </c>
      <c r="P46" s="42">
        <v>0.749</v>
      </c>
      <c r="Q46" s="42">
        <v>0.73399999999999999</v>
      </c>
      <c r="R46" s="42">
        <v>0.71899999999999997</v>
      </c>
      <c r="S46" s="42">
        <v>0.70499999999999996</v>
      </c>
      <c r="T46" s="42">
        <v>0.69</v>
      </c>
      <c r="U46" s="40">
        <v>0.67500000000000004</v>
      </c>
      <c r="V46" s="69"/>
    </row>
    <row r="47" spans="1:22" x14ac:dyDescent="0.2">
      <c r="A47" s="70" t="s">
        <v>80</v>
      </c>
      <c r="B47" s="6">
        <f>(B45+B46)/2</f>
        <v>0.99049999999999994</v>
      </c>
      <c r="C47" s="6">
        <f t="shared" ref="C47:U47" si="66">(C45+C46)/2</f>
        <v>0.96950000000000003</v>
      </c>
      <c r="D47" s="6">
        <f t="shared" si="66"/>
        <v>0.94899999999999995</v>
      </c>
      <c r="E47" s="6">
        <f t="shared" si="66"/>
        <v>0.92949999999999999</v>
      </c>
      <c r="F47" s="6">
        <f t="shared" si="66"/>
        <v>0.91050000000000009</v>
      </c>
      <c r="G47" s="6">
        <f t="shared" si="66"/>
        <v>0.89250000000000007</v>
      </c>
      <c r="H47" s="6">
        <f t="shared" si="66"/>
        <v>0.87549999999999994</v>
      </c>
      <c r="I47" s="6">
        <f t="shared" si="66"/>
        <v>0.85749999999999993</v>
      </c>
      <c r="J47" s="6">
        <f t="shared" si="66"/>
        <v>0.84099999999999997</v>
      </c>
      <c r="K47" s="6">
        <f t="shared" si="66"/>
        <v>0.82450000000000001</v>
      </c>
      <c r="L47" s="6">
        <f t="shared" si="66"/>
        <v>0.80800000000000005</v>
      </c>
      <c r="M47" s="6">
        <f t="shared" si="66"/>
        <v>0.79200000000000004</v>
      </c>
      <c r="N47" s="6">
        <f t="shared" si="66"/>
        <v>0.77600000000000002</v>
      </c>
      <c r="O47" s="6">
        <f t="shared" si="66"/>
        <v>0.76</v>
      </c>
      <c r="P47" s="6">
        <f t="shared" si="66"/>
        <v>0.74449999999999994</v>
      </c>
      <c r="Q47" s="6">
        <f t="shared" si="66"/>
        <v>0.72899999999999998</v>
      </c>
      <c r="R47" s="6">
        <f t="shared" si="66"/>
        <v>0.71350000000000002</v>
      </c>
      <c r="S47" s="6">
        <f t="shared" si="66"/>
        <v>0.6984999999999999</v>
      </c>
      <c r="T47" s="6">
        <f t="shared" si="66"/>
        <v>0.68300000000000005</v>
      </c>
      <c r="U47" s="6">
        <f t="shared" si="66"/>
        <v>0.66749999999999998</v>
      </c>
      <c r="V47" s="69"/>
    </row>
    <row r="48" spans="1:22" x14ac:dyDescent="0.2">
      <c r="A48" s="134" t="s">
        <v>224</v>
      </c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5"/>
      <c r="R48" s="15"/>
      <c r="S48" s="15"/>
      <c r="T48" s="15"/>
      <c r="U48" s="15"/>
    </row>
    <row r="49" spans="1:21" x14ac:dyDescent="0.2">
      <c r="A49" s="4"/>
      <c r="B49" s="4">
        <v>1</v>
      </c>
      <c r="C49" s="4">
        <v>2</v>
      </c>
      <c r="D49" s="4">
        <v>3</v>
      </c>
      <c r="E49" s="4">
        <v>4</v>
      </c>
      <c r="F49" s="4">
        <v>5</v>
      </c>
      <c r="G49" s="4">
        <v>6</v>
      </c>
      <c r="H49" s="4">
        <v>7</v>
      </c>
      <c r="I49" s="4">
        <v>8</v>
      </c>
      <c r="J49" s="4">
        <v>9</v>
      </c>
      <c r="K49" s="4">
        <v>10</v>
      </c>
      <c r="L49" s="4">
        <v>11</v>
      </c>
      <c r="M49" s="4">
        <v>12</v>
      </c>
      <c r="N49" s="4">
        <v>13</v>
      </c>
      <c r="O49" s="4">
        <v>14</v>
      </c>
      <c r="P49" s="4">
        <v>15</v>
      </c>
      <c r="Q49" s="47">
        <v>16</v>
      </c>
      <c r="R49" s="47">
        <v>17</v>
      </c>
      <c r="S49" s="47">
        <v>18</v>
      </c>
      <c r="T49" s="47">
        <v>19</v>
      </c>
      <c r="U49" s="47">
        <v>20</v>
      </c>
    </row>
    <row r="50" spans="1:21" x14ac:dyDescent="0.2">
      <c r="A50" s="4" t="s">
        <v>102</v>
      </c>
      <c r="B50" s="2">
        <f t="shared" ref="B50:U50" si="67">($J$5*1000*$J$6/$D$5)*$J$8*B22</f>
        <v>139309767.071614</v>
      </c>
      <c r="C50" s="2">
        <f t="shared" si="67"/>
        <v>134028556.63959587</v>
      </c>
      <c r="D50" s="2">
        <f t="shared" si="67"/>
        <v>129746494.1271487</v>
      </c>
      <c r="E50" s="2">
        <f t="shared" si="67"/>
        <v>125892637.86594626</v>
      </c>
      <c r="F50" s="2">
        <f t="shared" si="67"/>
        <v>122252884.73036619</v>
      </c>
      <c r="G50" s="2">
        <f t="shared" si="67"/>
        <v>118898602.42894924</v>
      </c>
      <c r="H50" s="2">
        <f t="shared" si="67"/>
        <v>115687055.54461388</v>
      </c>
      <c r="I50" s="2">
        <f t="shared" si="67"/>
        <v>112546876.36881931</v>
      </c>
      <c r="J50" s="2">
        <f t="shared" si="67"/>
        <v>109549432.6101063</v>
      </c>
      <c r="K50" s="2">
        <f t="shared" si="67"/>
        <v>106623356.55993408</v>
      </c>
      <c r="L50" s="2">
        <f t="shared" si="67"/>
        <v>103768648.21830264</v>
      </c>
      <c r="M50" s="2">
        <f t="shared" si="67"/>
        <v>100985307.58521201</v>
      </c>
      <c r="N50" s="2">
        <f t="shared" si="67"/>
        <v>98273334.66066213</v>
      </c>
      <c r="O50" s="2">
        <f t="shared" si="67"/>
        <v>95561361.736112267</v>
      </c>
      <c r="P50" s="2">
        <f t="shared" si="67"/>
        <v>92920756.520103201</v>
      </c>
      <c r="Q50" s="2">
        <f t="shared" si="67"/>
        <v>90351519.012634903</v>
      </c>
      <c r="R50" s="2">
        <f t="shared" si="67"/>
        <v>87710913.796625838</v>
      </c>
      <c r="S50" s="2">
        <f t="shared" si="67"/>
        <v>85213043.997698322</v>
      </c>
      <c r="T50" s="2">
        <f t="shared" si="67"/>
        <v>82643806.490230024</v>
      </c>
      <c r="U50" s="2">
        <f t="shared" si="67"/>
        <v>80074568.982761726</v>
      </c>
    </row>
    <row r="51" spans="1:21" x14ac:dyDescent="0.2">
      <c r="A51" s="4" t="s">
        <v>103</v>
      </c>
      <c r="B51" s="2">
        <f t="shared" ref="B51:U51" si="68">($J$5*1000*$J$6*$D$6*$J$8)*B22</f>
        <v>120696515.59889784</v>
      </c>
      <c r="C51" s="2">
        <f t="shared" si="68"/>
        <v>116120930.47885767</v>
      </c>
      <c r="D51" s="2">
        <f t="shared" si="68"/>
        <v>112410996.597744</v>
      </c>
      <c r="E51" s="2">
        <f t="shared" si="68"/>
        <v>109072056.10474169</v>
      </c>
      <c r="F51" s="2">
        <f t="shared" si="68"/>
        <v>105918612.30579509</v>
      </c>
      <c r="G51" s="2">
        <f t="shared" si="68"/>
        <v>103012497.43225604</v>
      </c>
      <c r="H51" s="2">
        <f t="shared" si="68"/>
        <v>100230047.02142081</v>
      </c>
      <c r="I51" s="2">
        <f t="shared" si="68"/>
        <v>97509428.841937438</v>
      </c>
      <c r="J51" s="2">
        <f t="shared" si="68"/>
        <v>94912475.125157893</v>
      </c>
      <c r="K51" s="2">
        <f t="shared" si="68"/>
        <v>92377353.639730215</v>
      </c>
      <c r="L51" s="2">
        <f t="shared" si="68"/>
        <v>89904064.385654435</v>
      </c>
      <c r="M51" s="2">
        <f t="shared" si="68"/>
        <v>87492607.362930551</v>
      </c>
      <c r="N51" s="2">
        <f t="shared" si="68"/>
        <v>85142982.571558565</v>
      </c>
      <c r="O51" s="2">
        <f t="shared" si="68"/>
        <v>82793357.780186579</v>
      </c>
      <c r="P51" s="2">
        <f t="shared" si="68"/>
        <v>80505565.220166489</v>
      </c>
      <c r="Q51" s="2">
        <f t="shared" si="68"/>
        <v>78279604.891498297</v>
      </c>
      <c r="R51" s="2">
        <f t="shared" si="68"/>
        <v>75991812.331478208</v>
      </c>
      <c r="S51" s="2">
        <f t="shared" si="68"/>
        <v>73827684.234161898</v>
      </c>
      <c r="T51" s="2">
        <f t="shared" si="68"/>
        <v>71601723.905493692</v>
      </c>
      <c r="U51" s="2">
        <f t="shared" si="68"/>
        <v>69375763.5768255</v>
      </c>
    </row>
    <row r="53" spans="1:21" x14ac:dyDescent="0.2">
      <c r="A53" s="134" t="s">
        <v>225</v>
      </c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5"/>
      <c r="R53" s="15"/>
      <c r="S53" s="15"/>
      <c r="T53" s="15"/>
      <c r="U53" s="15"/>
    </row>
    <row r="54" spans="1:21" x14ac:dyDescent="0.2">
      <c r="A54" s="4"/>
      <c r="B54" s="4">
        <v>1</v>
      </c>
      <c r="C54" s="4">
        <v>2</v>
      </c>
      <c r="D54" s="4">
        <v>3</v>
      </c>
      <c r="E54" s="4">
        <v>4</v>
      </c>
      <c r="F54" s="4">
        <v>5</v>
      </c>
      <c r="G54" s="4">
        <v>6</v>
      </c>
      <c r="H54" s="4">
        <v>7</v>
      </c>
      <c r="I54" s="4">
        <v>8</v>
      </c>
      <c r="J54" s="4">
        <v>9</v>
      </c>
      <c r="K54" s="4">
        <v>10</v>
      </c>
      <c r="L54" s="4">
        <v>11</v>
      </c>
      <c r="M54" s="4">
        <v>12</v>
      </c>
      <c r="N54" s="4">
        <v>13</v>
      </c>
      <c r="O54" s="4">
        <v>14</v>
      </c>
      <c r="P54" s="4">
        <v>15</v>
      </c>
      <c r="Q54" s="47">
        <v>16</v>
      </c>
      <c r="R54" s="47">
        <v>17</v>
      </c>
      <c r="S54" s="47">
        <v>18</v>
      </c>
      <c r="T54" s="47">
        <v>19</v>
      </c>
      <c r="U54" s="47">
        <v>20</v>
      </c>
    </row>
    <row r="55" spans="1:21" x14ac:dyDescent="0.2">
      <c r="A55" s="4" t="s">
        <v>102</v>
      </c>
      <c r="B55" s="2">
        <f t="shared" ref="B55:U55" si="69">($J$5*1000*$J$6/$D$5)*$J$8*B27</f>
        <v>139809341.03139952</v>
      </c>
      <c r="C55" s="2">
        <f t="shared" si="69"/>
        <v>134806464.66269043</v>
      </c>
      <c r="D55" s="2">
        <f t="shared" si="69"/>
        <v>130869821.85958065</v>
      </c>
      <c r="E55" s="2">
        <f t="shared" si="69"/>
        <v>127294299.66168728</v>
      </c>
      <c r="F55" s="2">
        <f t="shared" si="69"/>
        <v>124005675.65212791</v>
      </c>
      <c r="G55" s="2">
        <f t="shared" si="69"/>
        <v>120931154.76819083</v>
      </c>
      <c r="H55" s="2">
        <f t="shared" si="69"/>
        <v>117999369.30133535</v>
      </c>
      <c r="I55" s="2">
        <f t="shared" si="69"/>
        <v>115138951.54302067</v>
      </c>
      <c r="J55" s="2">
        <f t="shared" si="69"/>
        <v>112235713.15958148</v>
      </c>
      <c r="K55" s="2">
        <f t="shared" si="69"/>
        <v>109335329.48448394</v>
      </c>
      <c r="L55" s="2">
        <f t="shared" si="69"/>
        <v>106480621.14285251</v>
      </c>
      <c r="M55" s="2">
        <f t="shared" si="69"/>
        <v>103697280.50976187</v>
      </c>
      <c r="N55" s="2">
        <f t="shared" si="69"/>
        <v>100913939.87667122</v>
      </c>
      <c r="O55" s="2">
        <f t="shared" si="69"/>
        <v>98130599.243580565</v>
      </c>
      <c r="P55" s="2">
        <f t="shared" si="69"/>
        <v>95489994.027571484</v>
      </c>
      <c r="Q55" s="2">
        <f t="shared" si="69"/>
        <v>92720926.936189011</v>
      </c>
      <c r="R55" s="2">
        <f t="shared" si="69"/>
        <v>89889627.202958941</v>
      </c>
      <c r="S55" s="2">
        <f t="shared" si="69"/>
        <v>87298408.441260085</v>
      </c>
      <c r="T55" s="2">
        <f t="shared" si="69"/>
        <v>84865483.257104695</v>
      </c>
      <c r="U55" s="2">
        <f t="shared" si="69"/>
        <v>82488367.621028215</v>
      </c>
    </row>
    <row r="56" spans="1:21" x14ac:dyDescent="0.2">
      <c r="A56" s="4" t="s">
        <v>103</v>
      </c>
      <c r="B56" s="2">
        <f t="shared" ref="B56:U56" si="70">($J$5*1000*$J$6*$D$6*$J$8)*B27</f>
        <v>121129341.21836111</v>
      </c>
      <c r="C56" s="2">
        <f t="shared" si="70"/>
        <v>116794901.8005933</v>
      </c>
      <c r="D56" s="2">
        <f t="shared" si="70"/>
        <v>113384235.91922279</v>
      </c>
      <c r="E56" s="2">
        <f t="shared" si="70"/>
        <v>110286441.12849289</v>
      </c>
      <c r="F56" s="2">
        <f t="shared" si="70"/>
        <v>107437211.90779762</v>
      </c>
      <c r="G56" s="2">
        <f t="shared" si="70"/>
        <v>104773479.38115799</v>
      </c>
      <c r="H56" s="2">
        <f t="shared" si="70"/>
        <v>102233411.31722218</v>
      </c>
      <c r="I56" s="2">
        <f t="shared" si="70"/>
        <v>99755175.484638274</v>
      </c>
      <c r="J56" s="2">
        <f t="shared" si="70"/>
        <v>97239840.313243195</v>
      </c>
      <c r="K56" s="2">
        <f t="shared" si="70"/>
        <v>94726978.431102201</v>
      </c>
      <c r="L56" s="2">
        <f t="shared" si="70"/>
        <v>92253689.177026421</v>
      </c>
      <c r="M56" s="2">
        <f t="shared" si="70"/>
        <v>89842232.154302552</v>
      </c>
      <c r="N56" s="2">
        <f t="shared" si="70"/>
        <v>87430775.131578669</v>
      </c>
      <c r="O56" s="2">
        <f t="shared" si="70"/>
        <v>85019318.108854786</v>
      </c>
      <c r="P56" s="2">
        <f t="shared" si="70"/>
        <v>82731525.548834696</v>
      </c>
      <c r="Q56" s="2">
        <f t="shared" si="70"/>
        <v>80332434.972381189</v>
      </c>
      <c r="R56" s="2">
        <f t="shared" si="70"/>
        <v>77879426.690188825</v>
      </c>
      <c r="S56" s="2">
        <f t="shared" si="70"/>
        <v>75634422.034264252</v>
      </c>
      <c r="T56" s="2">
        <f t="shared" si="70"/>
        <v>73526561.267478168</v>
      </c>
      <c r="U56" s="2">
        <f t="shared" si="70"/>
        <v>71467053.305609286</v>
      </c>
    </row>
    <row r="57" spans="1:21" x14ac:dyDescent="0.2">
      <c r="A57" s="134" t="s">
        <v>226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5"/>
      <c r="R57" s="15"/>
      <c r="S57" s="15"/>
      <c r="T57" s="15"/>
      <c r="U57" s="15"/>
    </row>
    <row r="58" spans="1:21" x14ac:dyDescent="0.2">
      <c r="A58" s="45"/>
      <c r="B58" s="45">
        <v>1</v>
      </c>
      <c r="C58" s="45">
        <v>2</v>
      </c>
      <c r="D58" s="45">
        <v>3</v>
      </c>
      <c r="E58" s="45">
        <v>4</v>
      </c>
      <c r="F58" s="45">
        <v>5</v>
      </c>
      <c r="G58" s="45">
        <v>6</v>
      </c>
      <c r="H58" s="45">
        <v>7</v>
      </c>
      <c r="I58" s="45">
        <v>8</v>
      </c>
      <c r="J58" s="45">
        <v>9</v>
      </c>
      <c r="K58" s="45">
        <v>10</v>
      </c>
      <c r="L58" s="45">
        <v>11</v>
      </c>
      <c r="M58" s="45">
        <v>12</v>
      </c>
      <c r="N58" s="45">
        <v>13</v>
      </c>
      <c r="O58" s="45">
        <v>14</v>
      </c>
      <c r="P58" s="45">
        <v>15</v>
      </c>
      <c r="Q58" s="47">
        <v>16</v>
      </c>
      <c r="R58" s="47">
        <v>17</v>
      </c>
      <c r="S58" s="47">
        <v>18</v>
      </c>
      <c r="T58" s="47">
        <v>19</v>
      </c>
      <c r="U58" s="47">
        <v>20</v>
      </c>
    </row>
    <row r="59" spans="1:21" x14ac:dyDescent="0.2">
      <c r="A59" s="45" t="s">
        <v>102</v>
      </c>
      <c r="B59" s="2">
        <f t="shared" ref="B59:U59" si="71">($J$5*1000*$J$6/$D$5)*$J$8*B32</f>
        <v>139880708.73994029</v>
      </c>
      <c r="C59" s="2">
        <f t="shared" si="71"/>
        <v>134952768.46519905</v>
      </c>
      <c r="D59" s="2">
        <f t="shared" si="71"/>
        <v>131021835.07877253</v>
      </c>
      <c r="E59" s="2">
        <f t="shared" si="71"/>
        <v>127449881.26630621</v>
      </c>
      <c r="F59" s="2">
        <f t="shared" si="71"/>
        <v>124164111.96508844</v>
      </c>
      <c r="G59" s="2">
        <f t="shared" si="71"/>
        <v>121092445.78949301</v>
      </c>
      <c r="H59" s="2">
        <f t="shared" si="71"/>
        <v>118163515.03097916</v>
      </c>
      <c r="I59" s="2">
        <f t="shared" si="71"/>
        <v>115305951.9810061</v>
      </c>
      <c r="J59" s="2">
        <f t="shared" si="71"/>
        <v>112462662.47274119</v>
      </c>
      <c r="K59" s="2">
        <f t="shared" si="71"/>
        <v>109692168.02718787</v>
      </c>
      <c r="L59" s="2">
        <f t="shared" si="71"/>
        <v>106980195.10263802</v>
      </c>
      <c r="M59" s="2">
        <f t="shared" si="71"/>
        <v>104339589.88662893</v>
      </c>
      <c r="N59" s="2">
        <f t="shared" si="71"/>
        <v>101698984.67061985</v>
      </c>
      <c r="O59" s="2">
        <f t="shared" si="71"/>
        <v>99058379.454610765</v>
      </c>
      <c r="P59" s="2">
        <f t="shared" si="71"/>
        <v>96560509.655683294</v>
      </c>
      <c r="Q59" s="2">
        <f t="shared" si="71"/>
        <v>93927041.210528284</v>
      </c>
      <c r="R59" s="2">
        <f t="shared" si="71"/>
        <v>91532369.118150741</v>
      </c>
      <c r="S59" s="2">
        <f t="shared" si="71"/>
        <v>89130560.254919142</v>
      </c>
      <c r="T59" s="2">
        <f t="shared" si="71"/>
        <v>86537985.506758019</v>
      </c>
      <c r="U59" s="2">
        <f t="shared" si="71"/>
        <v>84207544.352067187</v>
      </c>
    </row>
    <row r="60" spans="1:21" x14ac:dyDescent="0.2">
      <c r="A60" s="45" t="s">
        <v>103</v>
      </c>
      <c r="B60" s="2">
        <f t="shared" ref="B60:U60" si="72">($J$5*1000*$J$6*$D$6*$J$8)*B32</f>
        <v>121191173.44971299</v>
      </c>
      <c r="C60" s="2">
        <f t="shared" si="72"/>
        <v>116921657.8748647</v>
      </c>
      <c r="D60" s="2">
        <f t="shared" si="72"/>
        <v>113515938.57200234</v>
      </c>
      <c r="E60" s="2">
        <f t="shared" si="72"/>
        <v>110421235.39284003</v>
      </c>
      <c r="F60" s="2">
        <f t="shared" si="72"/>
        <v>107574479.46139883</v>
      </c>
      <c r="G60" s="2">
        <f t="shared" si="72"/>
        <v>104913220.22401328</v>
      </c>
      <c r="H60" s="2">
        <f t="shared" si="72"/>
        <v>102375625.44933154</v>
      </c>
      <c r="I60" s="2">
        <f t="shared" si="72"/>
        <v>99899862.906001687</v>
      </c>
      <c r="J60" s="2">
        <f t="shared" si="72"/>
        <v>97436466.808942214</v>
      </c>
      <c r="K60" s="2">
        <f t="shared" si="72"/>
        <v>95036139.587861672</v>
      </c>
      <c r="L60" s="2">
        <f t="shared" si="72"/>
        <v>92686514.796489686</v>
      </c>
      <c r="M60" s="2">
        <f t="shared" si="72"/>
        <v>90398722.236469597</v>
      </c>
      <c r="N60" s="2">
        <f t="shared" si="72"/>
        <v>88110929.676449493</v>
      </c>
      <c r="O60" s="2">
        <f t="shared" si="72"/>
        <v>85823137.116429403</v>
      </c>
      <c r="P60" s="2">
        <f t="shared" si="72"/>
        <v>83659009.019113123</v>
      </c>
      <c r="Q60" s="2">
        <f t="shared" si="72"/>
        <v>81377399.682228208</v>
      </c>
      <c r="R60" s="2">
        <f t="shared" si="72"/>
        <v>79302680.991446733</v>
      </c>
      <c r="S60" s="2">
        <f t="shared" si="72"/>
        <v>77221779.077530086</v>
      </c>
      <c r="T60" s="2">
        <f t="shared" si="72"/>
        <v>74975599.609209821</v>
      </c>
      <c r="U60" s="2">
        <f t="shared" si="72"/>
        <v>72956529.926645055</v>
      </c>
    </row>
    <row r="61" spans="1:21" x14ac:dyDescent="0.2">
      <c r="A61" s="134" t="s">
        <v>227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5"/>
      <c r="R61" s="15"/>
      <c r="S61" s="15"/>
      <c r="T61" s="15"/>
      <c r="U61" s="15"/>
    </row>
    <row r="62" spans="1:21" x14ac:dyDescent="0.2">
      <c r="A62" s="45"/>
      <c r="B62" s="45">
        <v>1</v>
      </c>
      <c r="C62" s="45">
        <v>2</v>
      </c>
      <c r="D62" s="45">
        <v>3</v>
      </c>
      <c r="E62" s="45">
        <v>4</v>
      </c>
      <c r="F62" s="45">
        <v>5</v>
      </c>
      <c r="G62" s="45">
        <v>6</v>
      </c>
      <c r="H62" s="45">
        <v>7</v>
      </c>
      <c r="I62" s="45">
        <v>8</v>
      </c>
      <c r="J62" s="45">
        <v>9</v>
      </c>
      <c r="K62" s="45">
        <v>10</v>
      </c>
      <c r="L62" s="45">
        <v>11</v>
      </c>
      <c r="M62" s="45">
        <v>12</v>
      </c>
      <c r="N62" s="45">
        <v>13</v>
      </c>
      <c r="O62" s="45">
        <v>14</v>
      </c>
      <c r="P62" s="45">
        <v>15</v>
      </c>
      <c r="Q62" s="47">
        <v>16</v>
      </c>
      <c r="R62" s="47">
        <v>17</v>
      </c>
      <c r="S62" s="47">
        <v>18</v>
      </c>
      <c r="T62" s="47">
        <v>19</v>
      </c>
      <c r="U62" s="47">
        <v>20</v>
      </c>
    </row>
    <row r="63" spans="1:21" x14ac:dyDescent="0.2">
      <c r="A63" s="45" t="s">
        <v>102</v>
      </c>
      <c r="B63" s="2">
        <f t="shared" ref="B63:U63" si="73">($J$5*1000*$J$6/$D$5)*$J$8*B37</f>
        <v>140166179.57410344</v>
      </c>
      <c r="C63" s="2">
        <f t="shared" si="73"/>
        <v>135714975.59241462</v>
      </c>
      <c r="D63" s="2">
        <f t="shared" si="73"/>
        <v>132070940.39432208</v>
      </c>
      <c r="E63" s="2">
        <f t="shared" si="73"/>
        <v>128666343.85838391</v>
      </c>
      <c r="F63" s="2">
        <f t="shared" si="73"/>
        <v>125503897.95752461</v>
      </c>
      <c r="G63" s="2">
        <f t="shared" si="73"/>
        <v>122556625.69791576</v>
      </c>
      <c r="H63" s="2">
        <f t="shared" si="73"/>
        <v>119934005.14445898</v>
      </c>
      <c r="I63" s="2">
        <f t="shared" si="73"/>
        <v>117382752.29954296</v>
      </c>
      <c r="J63" s="2">
        <f t="shared" si="73"/>
        <v>114882741.46935922</v>
      </c>
      <c r="K63" s="2">
        <f t="shared" si="73"/>
        <v>112447389.78311345</v>
      </c>
      <c r="L63" s="2">
        <f t="shared" si="73"/>
        <v>110020887.69272673</v>
      </c>
      <c r="M63" s="2">
        <f t="shared" si="73"/>
        <v>107978129.77116384</v>
      </c>
      <c r="N63" s="2">
        <f t="shared" si="73"/>
        <v>106044778.54679392</v>
      </c>
      <c r="O63" s="2">
        <f t="shared" si="73"/>
        <v>104158315.90693533</v>
      </c>
      <c r="P63" s="2">
        <f t="shared" si="73"/>
        <v>102578591.67838503</v>
      </c>
      <c r="Q63" s="2">
        <f t="shared" si="73"/>
        <v>100772988.65230314</v>
      </c>
      <c r="R63" s="2">
        <f t="shared" si="73"/>
        <v>98825720.724767804</v>
      </c>
      <c r="S63" s="2">
        <f t="shared" si="73"/>
        <v>96808012.868902713</v>
      </c>
      <c r="T63" s="2">
        <f t="shared" si="73"/>
        <v>94565353.995717078</v>
      </c>
      <c r="U63" s="2">
        <f t="shared" si="73"/>
        <v>92394062.831072196</v>
      </c>
    </row>
    <row r="64" spans="1:21" x14ac:dyDescent="0.2">
      <c r="A64" s="45" t="s">
        <v>103</v>
      </c>
      <c r="B64" s="2">
        <f t="shared" ref="B64:U64" si="74">($J$5*1000*$J$6*$D$6*$J$8)*B37</f>
        <v>121438502.37512057</v>
      </c>
      <c r="C64" s="2">
        <f t="shared" si="74"/>
        <v>117582026.10570292</v>
      </c>
      <c r="D64" s="2">
        <f t="shared" si="74"/>
        <v>114424872.37287518</v>
      </c>
      <c r="E64" s="2">
        <f t="shared" si="74"/>
        <v>111475165.77623306</v>
      </c>
      <c r="F64" s="2">
        <f t="shared" si="74"/>
        <v>108735255.94056793</v>
      </c>
      <c r="G64" s="2">
        <f t="shared" si="74"/>
        <v>106181770.28242874</v>
      </c>
      <c r="H64" s="2">
        <f t="shared" si="74"/>
        <v>103909559.44470933</v>
      </c>
      <c r="I64" s="2">
        <f t="shared" si="74"/>
        <v>101699180.83834182</v>
      </c>
      <c r="J64" s="2">
        <f t="shared" si="74"/>
        <v>99533197.774084941</v>
      </c>
      <c r="K64" s="2">
        <f t="shared" si="74"/>
        <v>97423234.711432904</v>
      </c>
      <c r="L64" s="2">
        <f t="shared" si="74"/>
        <v>95320938.845468506</v>
      </c>
      <c r="M64" s="2">
        <f t="shared" si="74"/>
        <v>93551114.887483239</v>
      </c>
      <c r="N64" s="2">
        <f t="shared" si="74"/>
        <v>91876079.740160406</v>
      </c>
      <c r="O64" s="2">
        <f t="shared" si="74"/>
        <v>90241668.368835777</v>
      </c>
      <c r="P64" s="2">
        <f t="shared" si="74"/>
        <v>88873011.927861601</v>
      </c>
      <c r="Q64" s="2">
        <f t="shared" si="74"/>
        <v>87308656.474658668</v>
      </c>
      <c r="R64" s="2">
        <f t="shared" si="74"/>
        <v>85621564.042222217</v>
      </c>
      <c r="S64" s="2">
        <f t="shared" si="74"/>
        <v>83873443.197441474</v>
      </c>
      <c r="T64" s="2">
        <f t="shared" si="74"/>
        <v>81930427.159439549</v>
      </c>
      <c r="U64" s="2">
        <f t="shared" si="74"/>
        <v>80049243.352789521</v>
      </c>
    </row>
    <row r="65" spans="1:22" x14ac:dyDescent="0.2">
      <c r="A65" s="134" t="s">
        <v>228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5"/>
      <c r="R65" s="15"/>
      <c r="S65" s="15"/>
      <c r="T65" s="15"/>
      <c r="U65" s="15"/>
    </row>
    <row r="66" spans="1:22" x14ac:dyDescent="0.2">
      <c r="A66" s="45"/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7">
        <v>16</v>
      </c>
      <c r="R66" s="47">
        <v>17</v>
      </c>
      <c r="S66" s="47">
        <v>18</v>
      </c>
      <c r="T66" s="47">
        <v>19</v>
      </c>
      <c r="U66" s="47">
        <v>20</v>
      </c>
    </row>
    <row r="67" spans="1:22" x14ac:dyDescent="0.2">
      <c r="A67" s="45" t="s">
        <v>102</v>
      </c>
      <c r="B67" s="2">
        <f t="shared" ref="B67:U67" si="75">($J$5*1000*$J$6/$D$5)*$J$8*B42</f>
        <v>139952076.44848108</v>
      </c>
      <c r="C67" s="2">
        <f t="shared" si="75"/>
        <v>135099072.26770765</v>
      </c>
      <c r="D67" s="2">
        <f t="shared" si="75"/>
        <v>131173848.29796442</v>
      </c>
      <c r="E67" s="2">
        <f t="shared" si="75"/>
        <v>127605462.87092513</v>
      </c>
      <c r="F67" s="2">
        <f t="shared" si="75"/>
        <v>124322548.27804898</v>
      </c>
      <c r="G67" s="2">
        <f t="shared" si="75"/>
        <v>121253736.81079517</v>
      </c>
      <c r="H67" s="2">
        <f t="shared" si="75"/>
        <v>118327660.76062296</v>
      </c>
      <c r="I67" s="2">
        <f t="shared" si="75"/>
        <v>115472952.41899152</v>
      </c>
      <c r="J67" s="2">
        <f t="shared" si="75"/>
        <v>112689611.78590089</v>
      </c>
      <c r="K67" s="2">
        <f t="shared" si="75"/>
        <v>110049006.56989181</v>
      </c>
      <c r="L67" s="2">
        <f t="shared" si="75"/>
        <v>107479769.06242351</v>
      </c>
      <c r="M67" s="2">
        <f t="shared" si="75"/>
        <v>104981899.26349601</v>
      </c>
      <c r="N67" s="2">
        <f t="shared" si="75"/>
        <v>102484029.4645685</v>
      </c>
      <c r="O67" s="2">
        <f t="shared" si="75"/>
        <v>99986159.66564098</v>
      </c>
      <c r="P67" s="2">
        <f t="shared" si="75"/>
        <v>97631025.283795059</v>
      </c>
      <c r="Q67" s="2">
        <f t="shared" si="75"/>
        <v>95275890.901949123</v>
      </c>
      <c r="R67" s="2">
        <f t="shared" si="75"/>
        <v>92920756.520103201</v>
      </c>
      <c r="S67" s="2">
        <f t="shared" si="75"/>
        <v>90565622.138257265</v>
      </c>
      <c r="T67" s="2">
        <f t="shared" si="75"/>
        <v>88210487.756411329</v>
      </c>
      <c r="U67" s="2">
        <f t="shared" si="75"/>
        <v>85926721.083106175</v>
      </c>
    </row>
    <row r="68" spans="1:22" x14ac:dyDescent="0.2">
      <c r="A68" s="45" t="s">
        <v>103</v>
      </c>
      <c r="B68" s="2">
        <f t="shared" ref="B68:U68" si="76">($J$5*1000*$J$6*$D$6*$J$8)*B42</f>
        <v>121253005.68106489</v>
      </c>
      <c r="C68" s="2">
        <f t="shared" si="76"/>
        <v>117048413.94913608</v>
      </c>
      <c r="D68" s="2">
        <f t="shared" si="76"/>
        <v>113647641.22478189</v>
      </c>
      <c r="E68" s="2">
        <f t="shared" si="76"/>
        <v>110556029.65718716</v>
      </c>
      <c r="F68" s="2">
        <f t="shared" si="76"/>
        <v>107711747.01500002</v>
      </c>
      <c r="G68" s="2">
        <f t="shared" si="76"/>
        <v>105052961.06686856</v>
      </c>
      <c r="H68" s="2">
        <f t="shared" si="76"/>
        <v>102517839.58144088</v>
      </c>
      <c r="I68" s="2">
        <f t="shared" si="76"/>
        <v>100044550.32736512</v>
      </c>
      <c r="J68" s="2">
        <f t="shared" si="76"/>
        <v>97633093.304641247</v>
      </c>
      <c r="K68" s="2">
        <f t="shared" si="76"/>
        <v>95345300.744621143</v>
      </c>
      <c r="L68" s="2">
        <f t="shared" si="76"/>
        <v>93119340.415952951</v>
      </c>
      <c r="M68" s="2">
        <f t="shared" si="76"/>
        <v>90955212.318636641</v>
      </c>
      <c r="N68" s="2">
        <f t="shared" si="76"/>
        <v>88791084.221320331</v>
      </c>
      <c r="O68" s="2">
        <f t="shared" si="76"/>
        <v>86626956.124004021</v>
      </c>
      <c r="P68" s="2">
        <f t="shared" si="76"/>
        <v>84586492.489391506</v>
      </c>
      <c r="Q68" s="2">
        <f t="shared" si="76"/>
        <v>82546028.854779005</v>
      </c>
      <c r="R68" s="2">
        <f t="shared" si="76"/>
        <v>80505565.220166489</v>
      </c>
      <c r="S68" s="2">
        <f t="shared" si="76"/>
        <v>78465101.585553989</v>
      </c>
      <c r="T68" s="2">
        <f t="shared" si="76"/>
        <v>76424637.950941458</v>
      </c>
      <c r="U68" s="2">
        <f t="shared" si="76"/>
        <v>74446006.54768084</v>
      </c>
    </row>
    <row r="69" spans="1:22" x14ac:dyDescent="0.2">
      <c r="A69" s="134" t="s">
        <v>277</v>
      </c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5"/>
      <c r="R69" s="15"/>
      <c r="S69" s="15"/>
      <c r="T69" s="15"/>
      <c r="U69" s="15"/>
    </row>
    <row r="70" spans="1:22" x14ac:dyDescent="0.2">
      <c r="A70" s="68"/>
      <c r="B70" s="68">
        <v>1</v>
      </c>
      <c r="C70" s="68">
        <v>2</v>
      </c>
      <c r="D70" s="68">
        <v>3</v>
      </c>
      <c r="E70" s="68">
        <v>4</v>
      </c>
      <c r="F70" s="68">
        <v>5</v>
      </c>
      <c r="G70" s="68">
        <v>6</v>
      </c>
      <c r="H70" s="68">
        <v>7</v>
      </c>
      <c r="I70" s="68">
        <v>8</v>
      </c>
      <c r="J70" s="68">
        <v>9</v>
      </c>
      <c r="K70" s="68">
        <v>10</v>
      </c>
      <c r="L70" s="68">
        <v>11</v>
      </c>
      <c r="M70" s="68">
        <v>12</v>
      </c>
      <c r="N70" s="68">
        <v>13</v>
      </c>
      <c r="O70" s="68">
        <v>14</v>
      </c>
      <c r="P70" s="68">
        <v>15</v>
      </c>
      <c r="Q70" s="68">
        <v>16</v>
      </c>
      <c r="R70" s="68">
        <v>17</v>
      </c>
      <c r="S70" s="68">
        <v>18</v>
      </c>
      <c r="T70" s="68">
        <v>19</v>
      </c>
      <c r="U70" s="68">
        <v>20</v>
      </c>
      <c r="V70" s="69"/>
    </row>
    <row r="71" spans="1:22" x14ac:dyDescent="0.2">
      <c r="A71" s="68" t="s">
        <v>102</v>
      </c>
      <c r="B71" s="2">
        <f>($J$5*1000*$J$6/$D$5)*$J$8*B47</f>
        <v>141379430.61929679</v>
      </c>
      <c r="C71" s="2">
        <f t="shared" ref="C71:U71" si="77">($J$5*1000*$J$6/$D$5)*$J$8*C47</f>
        <v>138381986.86058378</v>
      </c>
      <c r="D71" s="2">
        <f t="shared" si="77"/>
        <v>135455910.81041157</v>
      </c>
      <c r="E71" s="2">
        <f t="shared" si="77"/>
        <v>132672570.17732093</v>
      </c>
      <c r="F71" s="2">
        <f t="shared" si="77"/>
        <v>129960597.25277106</v>
      </c>
      <c r="G71" s="2">
        <f t="shared" si="77"/>
        <v>127391359.74530278</v>
      </c>
      <c r="H71" s="2">
        <f t="shared" si="77"/>
        <v>124964857.65491603</v>
      </c>
      <c r="I71" s="2">
        <f t="shared" si="77"/>
        <v>122395620.14744775</v>
      </c>
      <c r="J71" s="2">
        <f t="shared" si="77"/>
        <v>120040485.76560181</v>
      </c>
      <c r="K71" s="2">
        <f t="shared" si="77"/>
        <v>117685351.38375589</v>
      </c>
      <c r="L71" s="2">
        <f t="shared" si="77"/>
        <v>115330217.00190996</v>
      </c>
      <c r="M71" s="2">
        <f t="shared" si="77"/>
        <v>113046450.32860482</v>
      </c>
      <c r="N71" s="2">
        <f t="shared" si="77"/>
        <v>110762683.65529966</v>
      </c>
      <c r="O71" s="2">
        <f t="shared" si="77"/>
        <v>108478916.98199451</v>
      </c>
      <c r="P71" s="2">
        <f t="shared" si="77"/>
        <v>106266518.01723014</v>
      </c>
      <c r="Q71" s="2">
        <f t="shared" si="77"/>
        <v>104054119.05246578</v>
      </c>
      <c r="R71" s="2">
        <f t="shared" si="77"/>
        <v>101841720.08770142</v>
      </c>
      <c r="S71" s="2">
        <f t="shared" si="77"/>
        <v>99700688.831477836</v>
      </c>
      <c r="T71" s="2">
        <f t="shared" si="77"/>
        <v>97488289.866713494</v>
      </c>
      <c r="U71" s="2">
        <f t="shared" si="77"/>
        <v>95275890.901949123</v>
      </c>
      <c r="V71" s="69"/>
    </row>
    <row r="72" spans="1:22" x14ac:dyDescent="0.2">
      <c r="A72" s="68" t="s">
        <v>103</v>
      </c>
      <c r="B72" s="2">
        <f>($J$5*1000*$J$6*$D$6*$J$8)*B47</f>
        <v>122489650.30810277</v>
      </c>
      <c r="C72" s="2">
        <f t="shared" ref="C72:U72" si="78">($J$5*1000*$J$6*$D$6*$J$8)*C47</f>
        <v>119892696.59132321</v>
      </c>
      <c r="D72" s="2">
        <f t="shared" si="78"/>
        <v>117357575.10589553</v>
      </c>
      <c r="E72" s="2">
        <f t="shared" si="78"/>
        <v>114946118.08317167</v>
      </c>
      <c r="F72" s="2">
        <f t="shared" si="78"/>
        <v>112596493.29179969</v>
      </c>
      <c r="G72" s="2">
        <f t="shared" si="78"/>
        <v>110370532.96313149</v>
      </c>
      <c r="H72" s="2">
        <f t="shared" si="78"/>
        <v>108268237.09716706</v>
      </c>
      <c r="I72" s="2">
        <f t="shared" si="78"/>
        <v>106042276.76849887</v>
      </c>
      <c r="J72" s="2">
        <f t="shared" si="78"/>
        <v>104001813.13388635</v>
      </c>
      <c r="K72" s="2">
        <f t="shared" si="78"/>
        <v>101961349.49927384</v>
      </c>
      <c r="L72" s="2">
        <f t="shared" si="78"/>
        <v>99920885.864661336</v>
      </c>
      <c r="M72" s="2">
        <f t="shared" si="78"/>
        <v>97942254.461400717</v>
      </c>
      <c r="N72" s="2">
        <f t="shared" si="78"/>
        <v>95963623.058140084</v>
      </c>
      <c r="O72" s="2">
        <f t="shared" si="78"/>
        <v>93984991.654879466</v>
      </c>
      <c r="P72" s="2">
        <f t="shared" si="78"/>
        <v>92068192.482970729</v>
      </c>
      <c r="Q72" s="2">
        <f t="shared" si="78"/>
        <v>90151393.311062008</v>
      </c>
      <c r="R72" s="2">
        <f t="shared" si="78"/>
        <v>88234594.139153287</v>
      </c>
      <c r="S72" s="2">
        <f t="shared" si="78"/>
        <v>86379627.198596448</v>
      </c>
      <c r="T72" s="2">
        <f t="shared" si="78"/>
        <v>84462828.026687741</v>
      </c>
      <c r="U72" s="2">
        <f t="shared" si="78"/>
        <v>82546028.854779005</v>
      </c>
      <c r="V72" s="69"/>
    </row>
    <row r="73" spans="1:22" x14ac:dyDescent="0.2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</row>
    <row r="74" spans="1:22" x14ac:dyDescent="0.2">
      <c r="A74" s="153" t="s">
        <v>106</v>
      </c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49"/>
      <c r="R74" s="49"/>
      <c r="S74" s="49"/>
      <c r="T74" s="49"/>
      <c r="U74" s="49"/>
    </row>
    <row r="75" spans="1:22" x14ac:dyDescent="0.2">
      <c r="A75" s="4"/>
      <c r="B75" s="4">
        <v>1</v>
      </c>
      <c r="C75" s="4">
        <v>2</v>
      </c>
      <c r="D75" s="4">
        <v>3</v>
      </c>
      <c r="E75" s="4">
        <v>4</v>
      </c>
      <c r="F75" s="4">
        <v>5</v>
      </c>
      <c r="G75" s="4">
        <v>6</v>
      </c>
      <c r="H75" s="4">
        <v>7</v>
      </c>
      <c r="I75" s="4">
        <v>8</v>
      </c>
      <c r="J75" s="4">
        <v>9</v>
      </c>
      <c r="K75" s="4">
        <v>10</v>
      </c>
      <c r="L75" s="4">
        <v>11</v>
      </c>
      <c r="M75" s="4">
        <v>12</v>
      </c>
      <c r="N75" s="4">
        <v>13</v>
      </c>
      <c r="O75" s="4">
        <v>14</v>
      </c>
      <c r="P75" s="4">
        <v>15</v>
      </c>
      <c r="Q75" s="47">
        <v>16</v>
      </c>
      <c r="R75" s="47">
        <v>17</v>
      </c>
      <c r="S75" s="47">
        <v>18</v>
      </c>
      <c r="T75" s="47">
        <v>19</v>
      </c>
      <c r="U75" s="47">
        <v>20</v>
      </c>
    </row>
    <row r="76" spans="1:22" x14ac:dyDescent="0.2">
      <c r="A76" s="4" t="s">
        <v>107</v>
      </c>
      <c r="B76" s="34">
        <f>IF(($J$9+1)&gt;B75,IF($J$7=$V$5,B50,IF($J$7=$V$6,B55,IF($J$7=$V$7,B59,IF($J$7=$V$8,B63,IF($J$7=$V$9,B67,IF($J$7=$V$10,B50,IF($J$7=$V$11,B71,0))))))))</f>
        <v>141379430.61929679</v>
      </c>
      <c r="C76" s="34">
        <f t="shared" ref="C76:U76" si="79">IF(($J$9+1)&gt;C75,IF($J$7=$V$5,C50,IF($J$7=$V$6,C55,IF($J$7=$V$7,C59,IF($J$7=$V$8,C63,IF($J$7=$V$9,C67,IF($J$7=$V$10,C50,IF($J$7=$V$11,C71,0))))))))</f>
        <v>138381986.86058378</v>
      </c>
      <c r="D76" s="34">
        <f t="shared" si="79"/>
        <v>135455910.81041157</v>
      </c>
      <c r="E76" s="34">
        <f t="shared" si="79"/>
        <v>132672570.17732093</v>
      </c>
      <c r="F76" s="34">
        <f t="shared" si="79"/>
        <v>129960597.25277106</v>
      </c>
      <c r="G76" s="34">
        <f t="shared" si="79"/>
        <v>127391359.74530278</v>
      </c>
      <c r="H76" s="34">
        <f t="shared" si="79"/>
        <v>124964857.65491603</v>
      </c>
      <c r="I76" s="34">
        <f t="shared" si="79"/>
        <v>122395620.14744775</v>
      </c>
      <c r="J76" s="34">
        <f t="shared" si="79"/>
        <v>120040485.76560181</v>
      </c>
      <c r="K76" s="34">
        <f t="shared" si="79"/>
        <v>117685351.38375589</v>
      </c>
      <c r="L76" s="34">
        <f t="shared" si="79"/>
        <v>115330217.00190996</v>
      </c>
      <c r="M76" s="34">
        <f t="shared" si="79"/>
        <v>113046450.32860482</v>
      </c>
      <c r="N76" s="34">
        <f t="shared" si="79"/>
        <v>110762683.65529966</v>
      </c>
      <c r="O76" s="34">
        <f t="shared" si="79"/>
        <v>108478916.98199451</v>
      </c>
      <c r="P76" s="34">
        <f t="shared" si="79"/>
        <v>106266518.01723014</v>
      </c>
      <c r="Q76" s="34">
        <f t="shared" si="79"/>
        <v>104054119.05246578</v>
      </c>
      <c r="R76" s="34">
        <f t="shared" si="79"/>
        <v>101841720.08770142</v>
      </c>
      <c r="S76" s="34">
        <f t="shared" si="79"/>
        <v>99700688.831477836</v>
      </c>
      <c r="T76" s="34">
        <f t="shared" si="79"/>
        <v>97488289.866713494</v>
      </c>
      <c r="U76" s="34" t="b">
        <f t="shared" si="79"/>
        <v>0</v>
      </c>
      <c r="V76" s="7">
        <f>SUM(B76:U76)</f>
        <v>2247297774.2408061</v>
      </c>
    </row>
    <row r="77" spans="1:22" x14ac:dyDescent="0.2">
      <c r="A77" s="4" t="s">
        <v>108</v>
      </c>
      <c r="B77" s="34">
        <f>IF(($J$9+1)&gt;B75,IF($J$7=$V$5,B51,IF($J$7=$V$6,B56,IF($J$7=$V$7,B60,IF($J$7=$V$8,B64,IF($J$7=$V$9,B68,IF($J$7=$V$10,B51,IF($J$7=$V$11,B72,0))))))))</f>
        <v>122489650.30810277</v>
      </c>
      <c r="C77" s="34">
        <f t="shared" ref="C77:U77" si="80">IF(($J$9+1)&gt;C75,IF($J$7=$V$5,C51,IF($J$7=$V$6,C56,IF($J$7=$V$7,C60,IF($J$7=$V$8,C64,IF($J$7=$V$9,C68,IF($J$7=$V$10,C51,IF($J$7=$V$11,C72,0))))))))</f>
        <v>119892696.59132321</v>
      </c>
      <c r="D77" s="34">
        <f t="shared" si="80"/>
        <v>117357575.10589553</v>
      </c>
      <c r="E77" s="34">
        <f t="shared" si="80"/>
        <v>114946118.08317167</v>
      </c>
      <c r="F77" s="34">
        <f t="shared" si="80"/>
        <v>112596493.29179969</v>
      </c>
      <c r="G77" s="34">
        <f t="shared" si="80"/>
        <v>110370532.96313149</v>
      </c>
      <c r="H77" s="34">
        <f t="shared" si="80"/>
        <v>108268237.09716706</v>
      </c>
      <c r="I77" s="34">
        <f t="shared" si="80"/>
        <v>106042276.76849887</v>
      </c>
      <c r="J77" s="34">
        <f t="shared" si="80"/>
        <v>104001813.13388635</v>
      </c>
      <c r="K77" s="34">
        <f t="shared" si="80"/>
        <v>101961349.49927384</v>
      </c>
      <c r="L77" s="34">
        <f t="shared" si="80"/>
        <v>99920885.864661336</v>
      </c>
      <c r="M77" s="34">
        <f t="shared" si="80"/>
        <v>97942254.461400717</v>
      </c>
      <c r="N77" s="34">
        <f t="shared" si="80"/>
        <v>95963623.058140084</v>
      </c>
      <c r="O77" s="34">
        <f t="shared" si="80"/>
        <v>93984991.654879466</v>
      </c>
      <c r="P77" s="34">
        <f t="shared" si="80"/>
        <v>92068192.482970729</v>
      </c>
      <c r="Q77" s="34">
        <f t="shared" si="80"/>
        <v>90151393.311062008</v>
      </c>
      <c r="R77" s="34">
        <f t="shared" si="80"/>
        <v>88234594.139153287</v>
      </c>
      <c r="S77" s="34">
        <f t="shared" si="80"/>
        <v>86379627.198596448</v>
      </c>
      <c r="T77" s="34">
        <f t="shared" si="80"/>
        <v>84462828.026687741</v>
      </c>
      <c r="U77" s="34" t="b">
        <f t="shared" si="80"/>
        <v>0</v>
      </c>
      <c r="V77" s="7">
        <f>SUM(B77:U77)</f>
        <v>1947035133.0398021</v>
      </c>
    </row>
  </sheetData>
  <mergeCells count="37">
    <mergeCell ref="A69:P69"/>
    <mergeCell ref="A74:P74"/>
    <mergeCell ref="H12:I12"/>
    <mergeCell ref="H13:I13"/>
    <mergeCell ref="G12:G13"/>
    <mergeCell ref="A18:P18"/>
    <mergeCell ref="A48:P48"/>
    <mergeCell ref="A53:P53"/>
    <mergeCell ref="A23:P23"/>
    <mergeCell ref="A28:P28"/>
    <mergeCell ref="A33:P33"/>
    <mergeCell ref="A38:P38"/>
    <mergeCell ref="A57:P57"/>
    <mergeCell ref="A61:P61"/>
    <mergeCell ref="B16:C16"/>
    <mergeCell ref="A5:A16"/>
    <mergeCell ref="A65:P65"/>
    <mergeCell ref="B14:C14"/>
    <mergeCell ref="B15:C15"/>
    <mergeCell ref="B11:C11"/>
    <mergeCell ref="B12:C12"/>
    <mergeCell ref="B13:C13"/>
    <mergeCell ref="B10:C10"/>
    <mergeCell ref="A43:P43"/>
    <mergeCell ref="H4:I4"/>
    <mergeCell ref="G4:G10"/>
    <mergeCell ref="H8:I8"/>
    <mergeCell ref="H9:I9"/>
    <mergeCell ref="B5:C5"/>
    <mergeCell ref="B6:C6"/>
    <mergeCell ref="B7:C7"/>
    <mergeCell ref="B8:C8"/>
    <mergeCell ref="B9:C9"/>
    <mergeCell ref="H5:I5"/>
    <mergeCell ref="H10:I10"/>
    <mergeCell ref="H6:I6"/>
    <mergeCell ref="H7:I7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"/>
  <sheetViews>
    <sheetView tabSelected="1" workbookViewId="0">
      <selection activeCell="N26" sqref="N26"/>
    </sheetView>
  </sheetViews>
  <sheetFormatPr defaultRowHeight="14.25" x14ac:dyDescent="0.2"/>
  <cols>
    <col min="1" max="1" width="16.5" style="60" customWidth="1"/>
    <col min="2" max="2" width="13.5" style="60" customWidth="1"/>
    <col min="3" max="4" width="12.75" style="60" bestFit="1" customWidth="1"/>
    <col min="5" max="5" width="11.5" style="60" customWidth="1"/>
    <col min="6" max="6" width="13.875" style="60" bestFit="1" customWidth="1"/>
    <col min="7" max="10" width="11.625" style="60" customWidth="1"/>
    <col min="11" max="11" width="12.25" style="60" customWidth="1"/>
    <col min="12" max="15" width="10.375" style="60" customWidth="1"/>
    <col min="16" max="17" width="10.875" style="60" customWidth="1"/>
    <col min="18" max="22" width="12" style="60" customWidth="1"/>
    <col min="23" max="27" width="8.875" style="60"/>
    <col min="28" max="28" width="12.75" style="60" bestFit="1" customWidth="1"/>
    <col min="29" max="37" width="8.875" style="60"/>
  </cols>
  <sheetData>
    <row r="1" spans="1:37" x14ac:dyDescent="0.2">
      <c r="A1" s="60" t="s">
        <v>242</v>
      </c>
      <c r="AA1" s="60" t="s">
        <v>249</v>
      </c>
      <c r="AB1" s="60" t="s">
        <v>256</v>
      </c>
    </row>
    <row r="2" spans="1:37" x14ac:dyDescent="0.2">
      <c r="A2" s="149" t="s">
        <v>243</v>
      </c>
      <c r="C2" s="60">
        <v>1</v>
      </c>
      <c r="D2" s="60">
        <v>2</v>
      </c>
      <c r="E2" s="60">
        <v>3</v>
      </c>
      <c r="F2" s="60">
        <v>4</v>
      </c>
      <c r="G2" s="60">
        <v>5</v>
      </c>
      <c r="H2" s="60">
        <v>6</v>
      </c>
      <c r="I2" s="60">
        <v>7</v>
      </c>
      <c r="J2" s="60">
        <v>8</v>
      </c>
      <c r="K2" s="60">
        <v>9</v>
      </c>
      <c r="L2" s="60">
        <v>10</v>
      </c>
      <c r="M2" s="60">
        <v>11</v>
      </c>
      <c r="N2" s="60">
        <v>12</v>
      </c>
      <c r="O2" s="60">
        <v>13</v>
      </c>
      <c r="P2" s="60">
        <v>14</v>
      </c>
      <c r="Q2" s="60">
        <v>15</v>
      </c>
      <c r="R2" s="60">
        <v>16</v>
      </c>
      <c r="S2" s="60">
        <v>17</v>
      </c>
      <c r="T2" s="60">
        <v>18</v>
      </c>
      <c r="U2" s="60">
        <v>19</v>
      </c>
      <c r="V2" s="60">
        <v>20</v>
      </c>
      <c r="AA2" s="60">
        <f>(展示总表!D6+展示总表!E6+展示总表!F6-施工耗材基建成本构成!F44-(展示总表!D6+展示总表!E6+展示总表!F6-施工耗材基建成本构成!F44)/1.13*0.13)*0.95/累计充电电费及累计放电量!J9</f>
        <v>10880329.238322413</v>
      </c>
      <c r="AB2" s="60">
        <f>(展示总表!D6+展示总表!E6+展示总表!F6-施工耗材基建成本构成!F44)/1.13*0.13</f>
        <v>28288856.019638274</v>
      </c>
    </row>
    <row r="3" spans="1:37" x14ac:dyDescent="0.2">
      <c r="A3" s="149"/>
      <c r="C3" s="60">
        <f>累计充电电费及累计放电量!B77</f>
        <v>122489650.30810277</v>
      </c>
      <c r="D3" s="60">
        <f>累计充电电费及累计放电量!C77</f>
        <v>119892696.59132321</v>
      </c>
      <c r="E3" s="60">
        <f>累计充电电费及累计放电量!D77</f>
        <v>117357575.10589553</v>
      </c>
      <c r="F3" s="60">
        <f>累计充电电费及累计放电量!E77</f>
        <v>114946118.08317167</v>
      </c>
      <c r="G3" s="60">
        <f>累计充电电费及累计放电量!F77</f>
        <v>112596493.29179969</v>
      </c>
      <c r="H3" s="60">
        <f>累计充电电费及累计放电量!G77</f>
        <v>110370532.96313149</v>
      </c>
      <c r="I3" s="60">
        <f>累计充电电费及累计放电量!H77</f>
        <v>108268237.09716706</v>
      </c>
      <c r="J3" s="60">
        <f>累计充电电费及累计放电量!I77</f>
        <v>106042276.76849887</v>
      </c>
      <c r="K3" s="60">
        <f>累计充电电费及累计放电量!J77</f>
        <v>104001813.13388635</v>
      </c>
      <c r="L3" s="60">
        <f>累计充电电费及累计放电量!K77</f>
        <v>101961349.49927384</v>
      </c>
      <c r="M3" s="60">
        <f>累计充电电费及累计放电量!L77</f>
        <v>99920885.864661336</v>
      </c>
      <c r="N3" s="60">
        <f>累计充电电费及累计放电量!M77</f>
        <v>97942254.461400717</v>
      </c>
      <c r="O3" s="60">
        <f>累计充电电费及累计放电量!N77</f>
        <v>95963623.058140084</v>
      </c>
      <c r="P3" s="60">
        <f>累计充电电费及累计放电量!O77</f>
        <v>93984991.654879466</v>
      </c>
      <c r="Q3" s="60">
        <f>累计充电电费及累计放电量!P77</f>
        <v>92068192.482970729</v>
      </c>
      <c r="R3" s="60">
        <f>累计充电电费及累计放电量!Q77</f>
        <v>90151393.311062008</v>
      </c>
      <c r="S3" s="60">
        <f>累计充电电费及累计放电量!R77</f>
        <v>88234594.139153287</v>
      </c>
      <c r="T3" s="60">
        <f>累计充电电费及累计放电量!S77</f>
        <v>86379627.198596448</v>
      </c>
      <c r="U3" s="60">
        <f>累计充电电费及累计放电量!T77</f>
        <v>84462828.026687741</v>
      </c>
      <c r="V3" s="60" t="b">
        <f>累计充电电费及累计放电量!U77</f>
        <v>0</v>
      </c>
    </row>
    <row r="4" spans="1:37" x14ac:dyDescent="0.2">
      <c r="A4" s="71" t="s">
        <v>291</v>
      </c>
      <c r="B4" s="71"/>
      <c r="C4" s="71">
        <f>IF(累计充电电费及累计放电量!$J$9&gt;经济性测算!C2-1,累计充电电费及累计放电量!$J$14*累计充电电费及累计放电量!$J$4,0)</f>
        <v>20000000</v>
      </c>
      <c r="D4" s="71">
        <f>IF(累计充电电费及累计放电量!$J$9&gt;经济性测算!D2-1,累计充电电费及累计放电量!$J$14*累计充电电费及累计放电量!$J$4,0)</f>
        <v>20000000</v>
      </c>
      <c r="E4" s="71">
        <f>IF(累计充电电费及累计放电量!$J$9&gt;经济性测算!E2-1,累计充电电费及累计放电量!$J$14*累计充电电费及累计放电量!$J$4,0)</f>
        <v>20000000</v>
      </c>
      <c r="F4" s="71">
        <f>IF(累计充电电费及累计放电量!$J$9&gt;经济性测算!F2-1,累计充电电费及累计放电量!$J$14*累计充电电费及累计放电量!$J$4,0)</f>
        <v>20000000</v>
      </c>
      <c r="G4" s="71">
        <f>IF(累计充电电费及累计放电量!$J$9&gt;经济性测算!G2-1,累计充电电费及累计放电量!$J$14*累计充电电费及累计放电量!$J$4,0)</f>
        <v>20000000</v>
      </c>
      <c r="H4" s="71">
        <f>IF(累计充电电费及累计放电量!$J$9&gt;经济性测算!H2-1,累计充电电费及累计放电量!$J$14*累计充电电费及累计放电量!$J$4,0)</f>
        <v>20000000</v>
      </c>
      <c r="I4" s="71">
        <f>IF(累计充电电费及累计放电量!$J$9&gt;经济性测算!I2-1,累计充电电费及累计放电量!$J$14*累计充电电费及累计放电量!$J$4,0)</f>
        <v>20000000</v>
      </c>
      <c r="J4" s="71">
        <f>IF(累计充电电费及累计放电量!$J$9&gt;经济性测算!J2-1,累计充电电费及累计放电量!$J$14*累计充电电费及累计放电量!$J$4,0)</f>
        <v>20000000</v>
      </c>
      <c r="K4" s="71">
        <f>IF(累计充电电费及累计放电量!$J$9&gt;经济性测算!K2-1,累计充电电费及累计放电量!$J$14*累计充电电费及累计放电量!$J$4,0)</f>
        <v>20000000</v>
      </c>
      <c r="L4" s="71">
        <f>IF(累计充电电费及累计放电量!$J$9&gt;经济性测算!L2-1,累计充电电费及累计放电量!$J$14*累计充电电费及累计放电量!$J$4,0)</f>
        <v>20000000</v>
      </c>
      <c r="M4" s="71">
        <f>IF(累计充电电费及累计放电量!$J$9&gt;经济性测算!M2-1,累计充电电费及累计放电量!$J$14*累计充电电费及累计放电量!$J$4,0)</f>
        <v>20000000</v>
      </c>
      <c r="N4" s="71">
        <f>IF(累计充电电费及累计放电量!$J$9&gt;经济性测算!N2-1,累计充电电费及累计放电量!$J$14*累计充电电费及累计放电量!$J$4,0)</f>
        <v>20000000</v>
      </c>
      <c r="O4" s="71">
        <f>IF(累计充电电费及累计放电量!$J$9&gt;经济性测算!O2-1,累计充电电费及累计放电量!$J$14*累计充电电费及累计放电量!$J$4,0)</f>
        <v>20000000</v>
      </c>
      <c r="P4" s="71">
        <f>IF(累计充电电费及累计放电量!$J$9&gt;经济性测算!P2-1,累计充电电费及累计放电量!$J$14*累计充电电费及累计放电量!$J$4,0)</f>
        <v>20000000</v>
      </c>
      <c r="Q4" s="71">
        <f>IF(累计充电电费及累计放电量!$J$9&gt;经济性测算!Q2-1,累计充电电费及累计放电量!$J$14*累计充电电费及累计放电量!$J$4,0)</f>
        <v>20000000</v>
      </c>
      <c r="R4" s="71">
        <f>IF(累计充电电费及累计放电量!$J$9&gt;经济性测算!R2-1,累计充电电费及累计放电量!$J$14*累计充电电费及累计放电量!$J$4,0)</f>
        <v>20000000</v>
      </c>
      <c r="S4" s="71">
        <f>IF(累计充电电费及累计放电量!$J$9&gt;经济性测算!S2-1,累计充电电费及累计放电量!$J$14*累计充电电费及累计放电量!$J$4,0)</f>
        <v>20000000</v>
      </c>
      <c r="T4" s="71">
        <f>IF(累计充电电费及累计放电量!$J$9&gt;经济性测算!T2-1,累计充电电费及累计放电量!$J$14*累计充电电费及累计放电量!$J$4,0)</f>
        <v>20000000</v>
      </c>
      <c r="U4" s="71">
        <f>IF(累计充电电费及累计放电量!$J$9&gt;经济性测算!U2-1,累计充电电费及累计放电量!$J$14*累计充电电费及累计放电量!$J$4,0)</f>
        <v>20000000</v>
      </c>
      <c r="V4" s="71">
        <f>IF(累计充电电费及累计放电量!$J$9&gt;经济性测算!V2-1,累计充电电费及累计放电量!$J$14*累计充电电费及累计放电量!$J$4,0)</f>
        <v>0</v>
      </c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</row>
    <row r="5" spans="1:37" x14ac:dyDescent="0.2">
      <c r="A5" s="71" t="s">
        <v>292</v>
      </c>
      <c r="B5" s="71"/>
      <c r="C5" s="71">
        <f>IF(累计充电电费及累计放电量!$J$9&gt;经济性测算!C2-1,累计充电电费及累计放电量!$J$15*1000*累计充电电费及累计放电量!$J$4/2,0)</f>
        <v>10000000</v>
      </c>
      <c r="D5" s="71">
        <f>IF(累计充电电费及累计放电量!$J$9&gt;经济性测算!D2-1,累计充电电费及累计放电量!$J$15*1000*累计充电电费及累计放电量!$J$4/2,0)</f>
        <v>10000000</v>
      </c>
      <c r="E5" s="71">
        <f>IF(累计充电电费及累计放电量!$J$9&gt;经济性测算!E2-1,累计充电电费及累计放电量!$J$15*1000*累计充电电费及累计放电量!$J$4/2,0)</f>
        <v>10000000</v>
      </c>
      <c r="F5" s="71">
        <f>IF(累计充电电费及累计放电量!$J$9&gt;经济性测算!F2-1,累计充电电费及累计放电量!$J$15*1000*累计充电电费及累计放电量!$J$4/2,0)</f>
        <v>10000000</v>
      </c>
      <c r="G5" s="71">
        <f>IF(累计充电电费及累计放电量!$J$9&gt;经济性测算!G2-1,累计充电电费及累计放电量!$J$15*1000*累计充电电费及累计放电量!$J$4/2,0)</f>
        <v>10000000</v>
      </c>
      <c r="H5" s="71">
        <f>IF(累计充电电费及累计放电量!$J$9&gt;经济性测算!H2-1,累计充电电费及累计放电量!$J$15*1000*累计充电电费及累计放电量!$J$4/2,0)</f>
        <v>10000000</v>
      </c>
      <c r="I5" s="71">
        <f>IF(累计充电电费及累计放电量!$J$9&gt;经济性测算!I2-1,累计充电电费及累计放电量!$J$15*1000*累计充电电费及累计放电量!$J$4/2,0)</f>
        <v>10000000</v>
      </c>
      <c r="J5" s="71">
        <f>IF(累计充电电费及累计放电量!$J$9&gt;经济性测算!J2-1,累计充电电费及累计放电量!$J$15*1000*累计充电电费及累计放电量!$J$4/2,0)</f>
        <v>10000000</v>
      </c>
      <c r="K5" s="71">
        <f>IF(累计充电电费及累计放电量!$J$9&gt;经济性测算!K2-1,累计充电电费及累计放电量!$J$15*1000*累计充电电费及累计放电量!$J$4/2,0)</f>
        <v>10000000</v>
      </c>
      <c r="L5" s="71">
        <f>IF(累计充电电费及累计放电量!$J$9&gt;经济性测算!L2-1,累计充电电费及累计放电量!$J$15*1000*累计充电电费及累计放电量!$J$4/2,0)</f>
        <v>10000000</v>
      </c>
      <c r="M5" s="71">
        <f>IF(累计充电电费及累计放电量!$J$9&gt;经济性测算!M2-1,累计充电电费及累计放电量!$J$15*1000*累计充电电费及累计放电量!$J$4/2,0)</f>
        <v>10000000</v>
      </c>
      <c r="N5" s="71">
        <f>IF(累计充电电费及累计放电量!$J$9&gt;经济性测算!N2-1,累计充电电费及累计放电量!$J$15*1000*累计充电电费及累计放电量!$J$4/2,0)</f>
        <v>10000000</v>
      </c>
      <c r="O5" s="71">
        <f>IF(累计充电电费及累计放电量!$J$9&gt;经济性测算!O2-1,累计充电电费及累计放电量!$J$15*1000*累计充电电费及累计放电量!$J$4/2,0)</f>
        <v>10000000</v>
      </c>
      <c r="P5" s="71">
        <f>IF(累计充电电费及累计放电量!$J$9&gt;经济性测算!P2-1,累计充电电费及累计放电量!$J$15*1000*累计充电电费及累计放电量!$J$4/2,0)</f>
        <v>10000000</v>
      </c>
      <c r="Q5" s="71">
        <f>IF(累计充电电费及累计放电量!$J$9&gt;经济性测算!Q2-1,累计充电电费及累计放电量!$J$15*1000*累计充电电费及累计放电量!$J$4/2,0)</f>
        <v>10000000</v>
      </c>
      <c r="R5" s="71">
        <f>IF(累计充电电费及累计放电量!$J$9&gt;经济性测算!R2-1,累计充电电费及累计放电量!$J$15*1000*累计充电电费及累计放电量!$J$4/2,0)</f>
        <v>10000000</v>
      </c>
      <c r="S5" s="71">
        <f>IF(累计充电电费及累计放电量!$J$9&gt;经济性测算!S2-1,累计充电电费及累计放电量!$J$15*1000*累计充电电费及累计放电量!$J$4/2,0)</f>
        <v>10000000</v>
      </c>
      <c r="T5" s="71">
        <f>IF(累计充电电费及累计放电量!$J$9&gt;经济性测算!T2-1,累计充电电费及累计放电量!$J$15*1000*累计充电电费及累计放电量!$J$4/2,0)</f>
        <v>10000000</v>
      </c>
      <c r="U5" s="71">
        <f>IF(累计充电电费及累计放电量!$J$9&gt;经济性测算!U2-1,累计充电电费及累计放电量!$J$15*1000*累计充电电费及累计放电量!$J$4/2,0)</f>
        <v>10000000</v>
      </c>
      <c r="V5" s="71">
        <f>IF(累计充电电费及累计放电量!$J$9&gt;经济性测算!V2-1,累计充电电费及累计放电量!$J$15*1000*累计充电电费及累计放电量!$J$4/2,0)</f>
        <v>0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</row>
    <row r="6" spans="1:37" x14ac:dyDescent="0.2">
      <c r="A6" s="60" t="s">
        <v>246</v>
      </c>
      <c r="C6" s="60">
        <f>C3*累计充电电费及累计放电量!$J$13</f>
        <v>53160508.2337166</v>
      </c>
      <c r="D6" s="60">
        <f>D3*累计充电电费及累计放电量!$J$13</f>
        <v>52033430.320634276</v>
      </c>
      <c r="E6" s="60">
        <f>E3*累计充电电费及累计放电量!$J$13</f>
        <v>50933187.595958665</v>
      </c>
      <c r="F6" s="60">
        <f>F3*累计充电电费及累计放电量!$J$13</f>
        <v>49886615.248096503</v>
      </c>
      <c r="G6" s="60">
        <f>G3*累计充电电费及累计放电量!$J$13</f>
        <v>48866878.08864107</v>
      </c>
      <c r="H6" s="60">
        <f>H3*累计充电电费及累计放电量!$J$13</f>
        <v>47900811.305999063</v>
      </c>
      <c r="I6" s="60">
        <f>I3*累计充电电费及累计放电量!$J$13</f>
        <v>46988414.900170505</v>
      </c>
      <c r="J6" s="60">
        <f>J3*累计充电电费及累计放电量!$J$13</f>
        <v>46022348.117528506</v>
      </c>
      <c r="K6" s="60">
        <f>K3*累计充电电费及累计放电量!$J$13</f>
        <v>45136786.900106676</v>
      </c>
      <c r="L6" s="60">
        <f>L3*累计充电电费及累计放电量!$J$13</f>
        <v>44251225.682684846</v>
      </c>
      <c r="M6" s="60">
        <f>M3*累计充电电费及累计放电量!$J$13</f>
        <v>43365664.465263017</v>
      </c>
      <c r="N6" s="60">
        <f>N3*累计充电电费及累计放电量!$J$13</f>
        <v>42506938.436247908</v>
      </c>
      <c r="O6" s="60">
        <f>O3*累计充电电费及累计放电量!$J$13</f>
        <v>41648212.407232799</v>
      </c>
      <c r="P6" s="60">
        <f>P3*累计充电电费及累计放电量!$J$13</f>
        <v>40789486.37821769</v>
      </c>
      <c r="Q6" s="60">
        <f>Q3*累计充电电费及累计放电量!$J$13</f>
        <v>39957595.537609294</v>
      </c>
      <c r="R6" s="60">
        <f>R3*累计充电电费及累计放电量!$J$13</f>
        <v>39125704.697000913</v>
      </c>
      <c r="S6" s="60">
        <f>S3*累计充电电费及累计放电量!$J$13</f>
        <v>38293813.856392525</v>
      </c>
      <c r="T6" s="60">
        <f>T3*累计充电电费及累计放电量!$J$13</f>
        <v>37488758.204190858</v>
      </c>
      <c r="U6" s="60">
        <f>U3*累计充电电费及累计放电量!$J$13</f>
        <v>36656867.363582477</v>
      </c>
      <c r="V6" s="60">
        <f>V3*累计充电电费及累计放电量!$J$13</f>
        <v>0</v>
      </c>
    </row>
    <row r="8" spans="1:37" x14ac:dyDescent="0.2">
      <c r="A8" s="60" t="s">
        <v>244</v>
      </c>
      <c r="C8" s="60">
        <v>1</v>
      </c>
      <c r="D8" s="60">
        <v>2</v>
      </c>
      <c r="E8" s="60">
        <v>3</v>
      </c>
      <c r="F8" s="60">
        <v>4</v>
      </c>
      <c r="G8" s="60">
        <v>5</v>
      </c>
      <c r="H8" s="60">
        <v>6</v>
      </c>
      <c r="I8" s="60">
        <v>7</v>
      </c>
      <c r="J8" s="60">
        <v>8</v>
      </c>
      <c r="K8" s="60">
        <v>9</v>
      </c>
      <c r="L8" s="60">
        <v>10</v>
      </c>
      <c r="M8" s="60">
        <v>11</v>
      </c>
      <c r="N8" s="60">
        <v>12</v>
      </c>
      <c r="O8" s="60">
        <v>13</v>
      </c>
      <c r="P8" s="60">
        <v>14</v>
      </c>
      <c r="Q8" s="60">
        <v>15</v>
      </c>
      <c r="R8" s="60">
        <v>16</v>
      </c>
      <c r="S8" s="60">
        <v>17</v>
      </c>
      <c r="T8" s="60">
        <v>18</v>
      </c>
      <c r="U8" s="60">
        <v>19</v>
      </c>
      <c r="V8" s="60">
        <v>20</v>
      </c>
    </row>
    <row r="9" spans="1:37" x14ac:dyDescent="0.2">
      <c r="A9" s="60" t="s">
        <v>248</v>
      </c>
      <c r="C9" s="60">
        <f>累计充电电费及累计放电量!B76</f>
        <v>141379430.61929679</v>
      </c>
      <c r="D9" s="60">
        <f>累计充电电费及累计放电量!C76</f>
        <v>138381986.86058378</v>
      </c>
      <c r="E9" s="60">
        <f>累计充电电费及累计放电量!D76</f>
        <v>135455910.81041157</v>
      </c>
      <c r="F9" s="60">
        <f>累计充电电费及累计放电量!E76</f>
        <v>132672570.17732093</v>
      </c>
      <c r="G9" s="60">
        <f>累计充电电费及累计放电量!F76</f>
        <v>129960597.25277106</v>
      </c>
      <c r="H9" s="60">
        <f>累计充电电费及累计放电量!G76</f>
        <v>127391359.74530278</v>
      </c>
      <c r="I9" s="60">
        <f>累计充电电费及累计放电量!H76</f>
        <v>124964857.65491603</v>
      </c>
      <c r="J9" s="60">
        <f>累计充电电费及累计放电量!I76</f>
        <v>122395620.14744775</v>
      </c>
      <c r="K9" s="60">
        <f>累计充电电费及累计放电量!J76</f>
        <v>120040485.76560181</v>
      </c>
      <c r="L9" s="60">
        <f>累计充电电费及累计放电量!K76</f>
        <v>117685351.38375589</v>
      </c>
      <c r="M9" s="60">
        <f>累计充电电费及累计放电量!L76</f>
        <v>115330217.00190996</v>
      </c>
      <c r="N9" s="60">
        <f>累计充电电费及累计放电量!M76</f>
        <v>113046450.32860482</v>
      </c>
      <c r="O9" s="60">
        <f>累计充电电费及累计放电量!N76</f>
        <v>110762683.65529966</v>
      </c>
      <c r="P9" s="60">
        <f>累计充电电费及累计放电量!O76</f>
        <v>108478916.98199451</v>
      </c>
      <c r="Q9" s="60">
        <f>累计充电电费及累计放电量!P76</f>
        <v>106266518.01723014</v>
      </c>
      <c r="R9" s="60">
        <f>累计充电电费及累计放电量!Q76</f>
        <v>104054119.05246578</v>
      </c>
      <c r="S9" s="60">
        <f>累计充电电费及累计放电量!R76</f>
        <v>101841720.08770142</v>
      </c>
      <c r="T9" s="60">
        <f>累计充电电费及累计放电量!S76</f>
        <v>99700688.831477836</v>
      </c>
      <c r="U9" s="60">
        <f>累计充电电费及累计放电量!T76</f>
        <v>97488289.866713494</v>
      </c>
      <c r="V9" s="60" t="b">
        <f>累计充电电费及累计放电量!U76</f>
        <v>0</v>
      </c>
    </row>
    <row r="10" spans="1:37" x14ac:dyDescent="0.2">
      <c r="A10" s="60" t="s">
        <v>247</v>
      </c>
      <c r="C10" s="60">
        <f>C9*累计充电电费及累计放电量!$J$12</f>
        <v>14137943.06192968</v>
      </c>
      <c r="D10" s="60">
        <f>D9*累计充电电费及累计放电量!$J$12</f>
        <v>13838198.68605838</v>
      </c>
      <c r="E10" s="60">
        <f>E9*累计充电电费及累计放电量!$J$12</f>
        <v>13545591.081041157</v>
      </c>
      <c r="F10" s="60">
        <f>F9*累计充电电费及累计放电量!$J$12</f>
        <v>13267257.017732093</v>
      </c>
      <c r="G10" s="60">
        <f>G9*累计充电电费及累计放电量!$J$12</f>
        <v>12996059.725277107</v>
      </c>
      <c r="H10" s="60">
        <f>H9*累计充电电费及累计放电量!$J$12</f>
        <v>12739135.97453028</v>
      </c>
      <c r="I10" s="60">
        <f>I9*累计充电电费及累计放电量!$J$12</f>
        <v>12496485.765491605</v>
      </c>
      <c r="J10" s="60">
        <f>J9*累计充电电费及累计放电量!$J$12</f>
        <v>12239562.014744775</v>
      </c>
      <c r="K10" s="60">
        <f>K9*累计充电电费及累计放电量!$J$12</f>
        <v>12004048.576560182</v>
      </c>
      <c r="L10" s="60">
        <f>L9*累计充电电费及累计放电量!$J$12</f>
        <v>11768535.13837559</v>
      </c>
      <c r="M10" s="60">
        <f>M9*累计充电电费及累计放电量!$J$12</f>
        <v>11533021.700190997</v>
      </c>
      <c r="N10" s="60">
        <f>N9*累计充电电费及累计放电量!$J$12</f>
        <v>11304645.032860482</v>
      </c>
      <c r="O10" s="60">
        <f>O9*累计充电电费及累计放电量!$J$12</f>
        <v>11076268.365529967</v>
      </c>
      <c r="P10" s="60">
        <f>P9*累计充电电费及累计放电量!$J$12</f>
        <v>10847891.698199451</v>
      </c>
      <c r="Q10" s="60">
        <f>Q9*累计充电电费及累计放电量!$J$12</f>
        <v>10626651.801723015</v>
      </c>
      <c r="R10" s="60">
        <f>R9*累计充电电费及累计放电量!$J$12</f>
        <v>10405411.905246578</v>
      </c>
      <c r="S10" s="60">
        <f>S9*累计充电电费及累计放电量!$J$12</f>
        <v>10184172.008770144</v>
      </c>
      <c r="T10" s="60">
        <f>T9*累计充电电费及累计放电量!$J$12</f>
        <v>9970068.8831477836</v>
      </c>
      <c r="U10" s="60">
        <f>U9*累计充电电费及累计放电量!$J$12</f>
        <v>9748828.986671349</v>
      </c>
      <c r="V10" s="60">
        <f>V9*累计充电电费及累计放电量!$J$12</f>
        <v>0</v>
      </c>
    </row>
    <row r="11" spans="1:37" x14ac:dyDescent="0.2">
      <c r="A11" s="60" t="s">
        <v>245</v>
      </c>
      <c r="C11" s="60">
        <f>IF(累计充电电费及累计放电量!$J$9+1&gt;经济性测算!C8,经济性测算!$AA$2,0)</f>
        <v>10880329.238322413</v>
      </c>
      <c r="D11" s="60">
        <f>IF(累计充电电费及累计放电量!$J$9+1&gt;经济性测算!D8,经济性测算!$AA$2,0)</f>
        <v>10880329.238322413</v>
      </c>
      <c r="E11" s="60">
        <f>IF(累计充电电费及累计放电量!$J$9+1&gt;经济性测算!E8,经济性测算!$AA$2,0)</f>
        <v>10880329.238322413</v>
      </c>
      <c r="F11" s="60">
        <f>IF(累计充电电费及累计放电量!$J$9+1&gt;经济性测算!F8,经济性测算!$AA$2,0)</f>
        <v>10880329.238322413</v>
      </c>
      <c r="G11" s="60">
        <f>IF(累计充电电费及累计放电量!$J$9+1&gt;经济性测算!G8,经济性测算!$AA$2,0)</f>
        <v>10880329.238322413</v>
      </c>
      <c r="H11" s="60">
        <f>IF(累计充电电费及累计放电量!$J$9+1&gt;经济性测算!H8,经济性测算!$AA$2,0)</f>
        <v>10880329.238322413</v>
      </c>
      <c r="I11" s="60">
        <f>IF(累计充电电费及累计放电量!$J$9+1&gt;经济性测算!I8,经济性测算!$AA$2,0)</f>
        <v>10880329.238322413</v>
      </c>
      <c r="J11" s="60">
        <f>IF(累计充电电费及累计放电量!$J$9+1&gt;经济性测算!J8,经济性测算!$AA$2,0)</f>
        <v>10880329.238322413</v>
      </c>
      <c r="K11" s="60">
        <f>IF(累计充电电费及累计放电量!$J$9+1&gt;经济性测算!K8,经济性测算!$AA$2,0)</f>
        <v>10880329.238322413</v>
      </c>
      <c r="L11" s="60">
        <f>IF(累计充电电费及累计放电量!$J$9+1&gt;经济性测算!L8,经济性测算!$AA$2,0)</f>
        <v>10880329.238322413</v>
      </c>
      <c r="M11" s="60">
        <f>IF(累计充电电费及累计放电量!$J$9+1&gt;经济性测算!M8,经济性测算!$AA$2,0)</f>
        <v>10880329.238322413</v>
      </c>
      <c r="N11" s="60">
        <f>IF(累计充电电费及累计放电量!$J$9+1&gt;经济性测算!N8,经济性测算!$AA$2,0)</f>
        <v>10880329.238322413</v>
      </c>
      <c r="O11" s="60">
        <f>IF(累计充电电费及累计放电量!$J$9+1&gt;经济性测算!O8,经济性测算!$AA$2,0)</f>
        <v>10880329.238322413</v>
      </c>
      <c r="P11" s="60">
        <f>IF(累计充电电费及累计放电量!$J$9+1&gt;经济性测算!P8,经济性测算!$AA$2,0)</f>
        <v>10880329.238322413</v>
      </c>
      <c r="Q11" s="60">
        <f>IF(累计充电电费及累计放电量!$J$9+1&gt;经济性测算!Q8,经济性测算!$AA$2,0)</f>
        <v>10880329.238322413</v>
      </c>
      <c r="R11" s="60">
        <f>IF(累计充电电费及累计放电量!$J$9+1&gt;经济性测算!R8,经济性测算!$AA$2,0)</f>
        <v>10880329.238322413</v>
      </c>
      <c r="S11" s="60">
        <f>IF(累计充电电费及累计放电量!$J$9+1&gt;经济性测算!S8,经济性测算!$AA$2,0)</f>
        <v>10880329.238322413</v>
      </c>
      <c r="T11" s="60">
        <f>IF(累计充电电费及累计放电量!$J$9+1&gt;经济性测算!T8,经济性测算!$AA$2,0)</f>
        <v>10880329.238322413</v>
      </c>
      <c r="U11" s="60">
        <f>IF(累计充电电费及累计放电量!$J$9+1&gt;经济性测算!U8,经济性测算!$AA$2,0)</f>
        <v>10880329.238322413</v>
      </c>
      <c r="V11" s="60">
        <f>IF(累计充电电费及累计放电量!$J$9+1&gt;经济性测算!V8,经济性测算!$AA$2,0)</f>
        <v>0</v>
      </c>
    </row>
    <row r="12" spans="1:37" x14ac:dyDescent="0.2">
      <c r="A12" s="60" t="s">
        <v>250</v>
      </c>
      <c r="C12" s="60">
        <f>运营期间费用构成!C11</f>
        <v>2906953.7199999997</v>
      </c>
      <c r="D12" s="60">
        <f>运营期间费用构成!D11</f>
        <v>2906953.7199999997</v>
      </c>
      <c r="E12" s="60">
        <f>运营期间费用构成!E11</f>
        <v>3146953.7199999997</v>
      </c>
      <c r="F12" s="60">
        <f>运营期间费用构成!F11</f>
        <v>2906953.7199999997</v>
      </c>
      <c r="G12" s="60">
        <f>运营期间费用构成!G11</f>
        <v>3210953.7199999997</v>
      </c>
      <c r="H12" s="60">
        <f>运营期间费用构成!H11</f>
        <v>3146953.7199999997</v>
      </c>
      <c r="I12" s="60">
        <f>运营期间费用构成!I11</f>
        <v>2906953.7199999997</v>
      </c>
      <c r="J12" s="60">
        <f>运营期间费用构成!J11</f>
        <v>2906953.7199999997</v>
      </c>
      <c r="K12" s="60">
        <f>运营期间费用构成!K11</f>
        <v>3146953.7199999997</v>
      </c>
      <c r="L12" s="60">
        <f>运营期间费用构成!L11</f>
        <v>3210953.7199999997</v>
      </c>
      <c r="M12" s="60">
        <f>运营期间费用构成!M11</f>
        <v>3306953.7199999997</v>
      </c>
      <c r="N12" s="60">
        <f>运营期间费用构成!N11</f>
        <v>3546953.7199999997</v>
      </c>
      <c r="O12" s="60">
        <f>运营期间费用构成!O11</f>
        <v>3306953.7199999997</v>
      </c>
      <c r="P12" s="60">
        <f>运营期间费用构成!P11</f>
        <v>3306953.7199999997</v>
      </c>
      <c r="Q12" s="60">
        <f>运营期间费用构成!Q11</f>
        <v>3850953.7199999997</v>
      </c>
      <c r="R12" s="60">
        <f>运营期间费用构成!R11</f>
        <v>3306953.7199999997</v>
      </c>
      <c r="S12" s="60">
        <f>运营期间费用构成!S11</f>
        <v>3306953.7199999997</v>
      </c>
      <c r="T12" s="60">
        <f>运营期间费用构成!T11</f>
        <v>3546953.7199999997</v>
      </c>
      <c r="U12" s="60">
        <f>运营期间费用构成!U11</f>
        <v>3306953.7199999997</v>
      </c>
      <c r="V12" s="60">
        <f>运营期间费用构成!V11</f>
        <v>0</v>
      </c>
    </row>
    <row r="15" spans="1:37" x14ac:dyDescent="0.2">
      <c r="A15" s="60" t="s">
        <v>251</v>
      </c>
    </row>
    <row r="16" spans="1:37" x14ac:dyDescent="0.2">
      <c r="A16" s="60" t="s">
        <v>290</v>
      </c>
      <c r="C16" s="60">
        <f>C4+C5+C6-C10</f>
        <v>69022565.171786934</v>
      </c>
      <c r="D16" s="71">
        <f t="shared" ref="D16:V16" si="0">D4+D5+D6-D10</f>
        <v>68195231.634575903</v>
      </c>
      <c r="E16" s="71">
        <f t="shared" si="0"/>
        <v>67387596.514917508</v>
      </c>
      <c r="F16" s="71">
        <f t="shared" si="0"/>
        <v>66619358.230364405</v>
      </c>
      <c r="G16" s="71">
        <f t="shared" si="0"/>
        <v>65870818.363363966</v>
      </c>
      <c r="H16" s="71">
        <f t="shared" si="0"/>
        <v>65161675.331468791</v>
      </c>
      <c r="I16" s="71">
        <f t="shared" si="0"/>
        <v>64491929.1346789</v>
      </c>
      <c r="J16" s="71">
        <f t="shared" si="0"/>
        <v>63782786.102783725</v>
      </c>
      <c r="K16" s="71">
        <f t="shared" si="0"/>
        <v>63132738.323546484</v>
      </c>
      <c r="L16" s="71">
        <f t="shared" si="0"/>
        <v>62482690.544309251</v>
      </c>
      <c r="M16" s="71">
        <f t="shared" si="0"/>
        <v>61832642.76507201</v>
      </c>
      <c r="N16" s="71">
        <f t="shared" si="0"/>
        <v>61202293.403387435</v>
      </c>
      <c r="O16" s="71">
        <f t="shared" si="0"/>
        <v>60571944.041702822</v>
      </c>
      <c r="P16" s="71">
        <f t="shared" si="0"/>
        <v>59941594.680018246</v>
      </c>
      <c r="Q16" s="71">
        <f t="shared" si="0"/>
        <v>59330943.735886276</v>
      </c>
      <c r="R16" s="71">
        <f t="shared" si="0"/>
        <v>58720292.791754343</v>
      </c>
      <c r="S16" s="71">
        <f t="shared" si="0"/>
        <v>58109641.847622387</v>
      </c>
      <c r="T16" s="71">
        <f t="shared" si="0"/>
        <v>57518689.321043067</v>
      </c>
      <c r="U16" s="71">
        <f t="shared" si="0"/>
        <v>56908038.376911126</v>
      </c>
      <c r="V16" s="71">
        <f t="shared" si="0"/>
        <v>0</v>
      </c>
    </row>
    <row r="17" spans="1:37" x14ac:dyDescent="0.2">
      <c r="A17" s="60" t="s">
        <v>255</v>
      </c>
      <c r="C17" s="60">
        <f>C16*0.13</f>
        <v>8972933.4723323025</v>
      </c>
      <c r="D17" s="60">
        <f t="shared" ref="D17:V17" si="1">D16*0.13</f>
        <v>8865380.1124948673</v>
      </c>
      <c r="E17" s="60">
        <f t="shared" si="1"/>
        <v>8760387.5469392762</v>
      </c>
      <c r="F17" s="60">
        <f t="shared" si="1"/>
        <v>8660516.5699473731</v>
      </c>
      <c r="G17" s="60">
        <f t="shared" si="1"/>
        <v>8563206.387237316</v>
      </c>
      <c r="H17" s="60">
        <f t="shared" si="1"/>
        <v>8471017.7930909432</v>
      </c>
      <c r="I17" s="60">
        <f t="shared" si="1"/>
        <v>8383950.7875082577</v>
      </c>
      <c r="J17" s="60">
        <f t="shared" si="1"/>
        <v>8291762.1933618849</v>
      </c>
      <c r="K17" s="60">
        <f t="shared" si="1"/>
        <v>8207255.9820610434</v>
      </c>
      <c r="L17" s="60">
        <f t="shared" si="1"/>
        <v>8122749.7707602028</v>
      </c>
      <c r="M17" s="60">
        <f t="shared" si="1"/>
        <v>8038243.5594593612</v>
      </c>
      <c r="N17" s="60">
        <f t="shared" si="1"/>
        <v>7956298.1424403666</v>
      </c>
      <c r="O17" s="60">
        <f t="shared" si="1"/>
        <v>7874352.7254213672</v>
      </c>
      <c r="P17" s="60">
        <f t="shared" si="1"/>
        <v>7792407.3084023725</v>
      </c>
      <c r="Q17" s="60">
        <f t="shared" si="1"/>
        <v>7713022.6856652163</v>
      </c>
      <c r="R17" s="60">
        <f t="shared" si="1"/>
        <v>7633638.0629280647</v>
      </c>
      <c r="S17" s="60">
        <f t="shared" si="1"/>
        <v>7554253.4401909104</v>
      </c>
      <c r="T17" s="60">
        <f t="shared" si="1"/>
        <v>7477429.6117355991</v>
      </c>
      <c r="U17" s="60">
        <f t="shared" si="1"/>
        <v>7398044.9889984466</v>
      </c>
      <c r="V17" s="60">
        <f t="shared" si="1"/>
        <v>0</v>
      </c>
    </row>
    <row r="18" spans="1:37" x14ac:dyDescent="0.2">
      <c r="A18" s="60" t="s">
        <v>256</v>
      </c>
      <c r="C18" s="60">
        <f>IF(AB2-C17&gt;0,C17,0)</f>
        <v>8972933.4723323025</v>
      </c>
      <c r="D18" s="60">
        <f>IF(AB2-C17-D17&gt;0,D17,0)</f>
        <v>8865380.1124948673</v>
      </c>
      <c r="E18" s="60">
        <f>IF(AB2-C17-D17-E17&gt;0,E17,0)</f>
        <v>8760387.5469392762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</row>
    <row r="19" spans="1:37" x14ac:dyDescent="0.2">
      <c r="A19" s="60" t="s">
        <v>257</v>
      </c>
      <c r="C19" s="60">
        <f>C17-C18</f>
        <v>0</v>
      </c>
      <c r="D19" s="60">
        <f t="shared" ref="D19:V19" si="2">D17-D18</f>
        <v>0</v>
      </c>
      <c r="E19" s="60">
        <f t="shared" si="2"/>
        <v>0</v>
      </c>
      <c r="F19" s="60">
        <f t="shared" si="2"/>
        <v>8660516.5699473731</v>
      </c>
      <c r="G19" s="60">
        <f t="shared" si="2"/>
        <v>8563206.387237316</v>
      </c>
      <c r="H19" s="60">
        <f t="shared" si="2"/>
        <v>8471017.7930909432</v>
      </c>
      <c r="I19" s="60">
        <f t="shared" si="2"/>
        <v>8383950.7875082577</v>
      </c>
      <c r="J19" s="60">
        <f t="shared" si="2"/>
        <v>8291762.1933618849</v>
      </c>
      <c r="K19" s="60">
        <f t="shared" si="2"/>
        <v>8207255.9820610434</v>
      </c>
      <c r="L19" s="60">
        <f t="shared" si="2"/>
        <v>8122749.7707602028</v>
      </c>
      <c r="M19" s="60">
        <f t="shared" si="2"/>
        <v>8038243.5594593612</v>
      </c>
      <c r="N19" s="60">
        <f t="shared" si="2"/>
        <v>7956298.1424403666</v>
      </c>
      <c r="O19" s="60">
        <f t="shared" si="2"/>
        <v>7874352.7254213672</v>
      </c>
      <c r="P19" s="60">
        <f t="shared" si="2"/>
        <v>7792407.3084023725</v>
      </c>
      <c r="Q19" s="60">
        <f t="shared" si="2"/>
        <v>7713022.6856652163</v>
      </c>
      <c r="R19" s="60">
        <f t="shared" si="2"/>
        <v>7633638.0629280647</v>
      </c>
      <c r="S19" s="60">
        <f t="shared" si="2"/>
        <v>7554253.4401909104</v>
      </c>
      <c r="T19" s="60">
        <f t="shared" si="2"/>
        <v>7477429.6117355991</v>
      </c>
      <c r="U19" s="60">
        <f t="shared" si="2"/>
        <v>7398044.9889984466</v>
      </c>
      <c r="V19" s="60">
        <f t="shared" si="2"/>
        <v>0</v>
      </c>
    </row>
    <row r="20" spans="1:37" x14ac:dyDescent="0.2">
      <c r="A20" s="60" t="s">
        <v>258</v>
      </c>
      <c r="C20" s="60">
        <f>C16-C19</f>
        <v>69022565.171786934</v>
      </c>
      <c r="D20" s="60">
        <f t="shared" ref="D20:V20" si="3">D16-D19</f>
        <v>68195231.634575903</v>
      </c>
      <c r="E20" s="60">
        <f t="shared" si="3"/>
        <v>67387596.514917508</v>
      </c>
      <c r="F20" s="60">
        <f t="shared" si="3"/>
        <v>57958841.660417035</v>
      </c>
      <c r="G20" s="60">
        <f t="shared" si="3"/>
        <v>57307611.976126648</v>
      </c>
      <c r="H20" s="60">
        <f t="shared" si="3"/>
        <v>56690657.538377851</v>
      </c>
      <c r="I20" s="60">
        <f t="shared" si="3"/>
        <v>56107978.347170644</v>
      </c>
      <c r="J20" s="60">
        <f t="shared" si="3"/>
        <v>55491023.909421839</v>
      </c>
      <c r="K20" s="60">
        <f t="shared" si="3"/>
        <v>54925482.341485441</v>
      </c>
      <c r="L20" s="60">
        <f t="shared" si="3"/>
        <v>54359940.77354905</v>
      </c>
      <c r="M20" s="60">
        <f t="shared" si="3"/>
        <v>53794399.205612652</v>
      </c>
      <c r="N20" s="60">
        <f t="shared" si="3"/>
        <v>53245995.260947071</v>
      </c>
      <c r="O20" s="60">
        <f t="shared" si="3"/>
        <v>52697591.316281453</v>
      </c>
      <c r="P20" s="60">
        <f t="shared" si="3"/>
        <v>52149187.371615872</v>
      </c>
      <c r="Q20" s="60">
        <f t="shared" si="3"/>
        <v>51617921.050221056</v>
      </c>
      <c r="R20" s="60">
        <f t="shared" si="3"/>
        <v>51086654.728826277</v>
      </c>
      <c r="S20" s="60">
        <f t="shared" si="3"/>
        <v>50555388.407431476</v>
      </c>
      <c r="T20" s="60">
        <f t="shared" si="3"/>
        <v>50041259.709307469</v>
      </c>
      <c r="U20" s="60">
        <f t="shared" si="3"/>
        <v>49509993.387912676</v>
      </c>
      <c r="V20" s="60">
        <f t="shared" si="3"/>
        <v>0</v>
      </c>
    </row>
    <row r="21" spans="1:37" x14ac:dyDescent="0.2">
      <c r="A21" s="60" t="s">
        <v>259</v>
      </c>
      <c r="C21" s="60">
        <f>C20-C11-C12</f>
        <v>55235282.213464521</v>
      </c>
      <c r="D21" s="60">
        <f t="shared" ref="D21:V21" si="4">D20-D11-D12</f>
        <v>54407948.67625349</v>
      </c>
      <c r="E21" s="60">
        <f t="shared" si="4"/>
        <v>53360313.556595095</v>
      </c>
      <c r="F21" s="60">
        <f t="shared" si="4"/>
        <v>44171558.702094622</v>
      </c>
      <c r="G21" s="60">
        <f t="shared" si="4"/>
        <v>43216329.017804235</v>
      </c>
      <c r="H21" s="60">
        <f t="shared" si="4"/>
        <v>42663374.580055438</v>
      </c>
      <c r="I21" s="60">
        <f t="shared" si="4"/>
        <v>42320695.38884823</v>
      </c>
      <c r="J21" s="60">
        <f t="shared" si="4"/>
        <v>41703740.951099426</v>
      </c>
      <c r="K21" s="60">
        <f t="shared" si="4"/>
        <v>40898199.383163027</v>
      </c>
      <c r="L21" s="60">
        <f t="shared" si="4"/>
        <v>40268657.815226637</v>
      </c>
      <c r="M21" s="60">
        <f t="shared" si="4"/>
        <v>39607116.247290239</v>
      </c>
      <c r="N21" s="60">
        <f t="shared" si="4"/>
        <v>38818712.302624658</v>
      </c>
      <c r="O21" s="60">
        <f t="shared" si="4"/>
        <v>38510308.35795904</v>
      </c>
      <c r="P21" s="60">
        <f t="shared" si="4"/>
        <v>37961904.413293459</v>
      </c>
      <c r="Q21" s="60">
        <f t="shared" si="4"/>
        <v>36886638.091898642</v>
      </c>
      <c r="R21" s="60">
        <f t="shared" si="4"/>
        <v>36899371.770503864</v>
      </c>
      <c r="S21" s="60">
        <f t="shared" si="4"/>
        <v>36368105.449109063</v>
      </c>
      <c r="T21" s="60">
        <f t="shared" si="4"/>
        <v>35613976.750985056</v>
      </c>
      <c r="U21" s="60">
        <f t="shared" si="4"/>
        <v>35322710.429590262</v>
      </c>
      <c r="V21" s="60">
        <f t="shared" si="4"/>
        <v>0</v>
      </c>
    </row>
    <row r="22" spans="1:37" x14ac:dyDescent="0.2">
      <c r="A22" s="60" t="s">
        <v>252</v>
      </c>
      <c r="C22" s="60">
        <f>C21*0.25</f>
        <v>13808820.55336613</v>
      </c>
      <c r="D22" s="60">
        <f t="shared" ref="D22:V22" si="5">D21*0.25</f>
        <v>13601987.169063373</v>
      </c>
      <c r="E22" s="60">
        <f t="shared" si="5"/>
        <v>13340078.389148774</v>
      </c>
      <c r="F22" s="60">
        <f t="shared" si="5"/>
        <v>11042889.675523655</v>
      </c>
      <c r="G22" s="60">
        <f t="shared" si="5"/>
        <v>10804082.254451059</v>
      </c>
      <c r="H22" s="60">
        <f t="shared" si="5"/>
        <v>10665843.645013859</v>
      </c>
      <c r="I22" s="60">
        <f t="shared" si="5"/>
        <v>10580173.847212058</v>
      </c>
      <c r="J22" s="60">
        <f t="shared" si="5"/>
        <v>10425935.237774856</v>
      </c>
      <c r="K22" s="60">
        <f t="shared" si="5"/>
        <v>10224549.845790757</v>
      </c>
      <c r="L22" s="60">
        <f t="shared" si="5"/>
        <v>10067164.453806659</v>
      </c>
      <c r="M22" s="60">
        <f t="shared" si="5"/>
        <v>9901779.0618225597</v>
      </c>
      <c r="N22" s="60">
        <f t="shared" si="5"/>
        <v>9704678.0756561644</v>
      </c>
      <c r="O22" s="60">
        <f t="shared" si="5"/>
        <v>9627577.0894897599</v>
      </c>
      <c r="P22" s="60">
        <f t="shared" si="5"/>
        <v>9490476.1033233646</v>
      </c>
      <c r="Q22" s="60">
        <f t="shared" si="5"/>
        <v>9221659.5229746606</v>
      </c>
      <c r="R22" s="60">
        <f t="shared" si="5"/>
        <v>9224842.9426259659</v>
      </c>
      <c r="S22" s="60">
        <f t="shared" si="5"/>
        <v>9092026.3622772656</v>
      </c>
      <c r="T22" s="60">
        <f t="shared" si="5"/>
        <v>8903494.187746264</v>
      </c>
      <c r="U22" s="60">
        <f t="shared" si="5"/>
        <v>8830677.6073975656</v>
      </c>
      <c r="V22" s="60">
        <f t="shared" si="5"/>
        <v>0</v>
      </c>
    </row>
    <row r="23" spans="1:37" x14ac:dyDescent="0.2">
      <c r="A23" s="60" t="s">
        <v>253</v>
      </c>
      <c r="B23" s="63">
        <f>SUM(C23:V23)</f>
        <v>991724734.29072881</v>
      </c>
      <c r="C23" s="60">
        <f>C16-C22</f>
        <v>55213744.618420802</v>
      </c>
      <c r="D23" s="60">
        <f t="shared" ref="D23:V23" si="6">D16-D22</f>
        <v>54593244.465512529</v>
      </c>
      <c r="E23" s="60">
        <f t="shared" si="6"/>
        <v>54047518.125768736</v>
      </c>
      <c r="F23" s="60">
        <f t="shared" si="6"/>
        <v>55576468.554840751</v>
      </c>
      <c r="G23" s="60">
        <f t="shared" si="6"/>
        <v>55066736.108912908</v>
      </c>
      <c r="H23" s="60">
        <f t="shared" si="6"/>
        <v>54495831.686454929</v>
      </c>
      <c r="I23" s="60">
        <f t="shared" si="6"/>
        <v>53911755.287466839</v>
      </c>
      <c r="J23" s="60">
        <f t="shared" si="6"/>
        <v>53356850.865008868</v>
      </c>
      <c r="K23" s="60">
        <f t="shared" si="6"/>
        <v>52908188.477755725</v>
      </c>
      <c r="L23" s="60">
        <f t="shared" si="6"/>
        <v>52415526.09050259</v>
      </c>
      <c r="M23" s="60">
        <f t="shared" si="6"/>
        <v>51930863.703249454</v>
      </c>
      <c r="N23" s="60">
        <f t="shared" si="6"/>
        <v>51497615.327731267</v>
      </c>
      <c r="O23" s="60">
        <f t="shared" si="6"/>
        <v>50944366.952213064</v>
      </c>
      <c r="P23" s="60">
        <f t="shared" si="6"/>
        <v>50451118.576694883</v>
      </c>
      <c r="Q23" s="60">
        <f t="shared" si="6"/>
        <v>50109284.212911613</v>
      </c>
      <c r="R23" s="60">
        <f t="shared" si="6"/>
        <v>49495449.84912838</v>
      </c>
      <c r="S23" s="60">
        <f t="shared" si="6"/>
        <v>49017615.485345125</v>
      </c>
      <c r="T23" s="60">
        <f t="shared" si="6"/>
        <v>48615195.133296803</v>
      </c>
      <c r="U23" s="60">
        <f t="shared" si="6"/>
        <v>48077360.769513562</v>
      </c>
      <c r="V23" s="60">
        <f t="shared" si="6"/>
        <v>0</v>
      </c>
    </row>
    <row r="24" spans="1:37" x14ac:dyDescent="0.2">
      <c r="A24" s="60" t="s">
        <v>254</v>
      </c>
      <c r="B24" s="60">
        <f>-(展示总表!D6+展示总表!E6+展示总表!F6)</f>
        <v>-253963897.24254295</v>
      </c>
      <c r="C24" s="60">
        <f>C20-(C22+C12)</f>
        <v>52306790.898420803</v>
      </c>
      <c r="D24" s="60">
        <f t="shared" ref="D24:V24" si="7">D20-(D22+D12)</f>
        <v>51686290.74551253</v>
      </c>
      <c r="E24" s="60">
        <f t="shared" si="7"/>
        <v>50900564.405768737</v>
      </c>
      <c r="F24" s="60">
        <f t="shared" si="7"/>
        <v>44008998.264893383</v>
      </c>
      <c r="G24" s="60">
        <f t="shared" si="7"/>
        <v>43292576.001675591</v>
      </c>
      <c r="H24" s="60">
        <f t="shared" si="7"/>
        <v>42877860.173363991</v>
      </c>
      <c r="I24" s="60">
        <f t="shared" si="7"/>
        <v>42620850.779958591</v>
      </c>
      <c r="J24" s="60">
        <f t="shared" si="7"/>
        <v>42158134.951646984</v>
      </c>
      <c r="K24" s="60">
        <f t="shared" si="7"/>
        <v>41553978.775694683</v>
      </c>
      <c r="L24" s="60">
        <f t="shared" si="7"/>
        <v>41081822.59974239</v>
      </c>
      <c r="M24" s="60">
        <f t="shared" si="7"/>
        <v>40585666.423790097</v>
      </c>
      <c r="N24" s="60">
        <f t="shared" si="7"/>
        <v>39994363.465290904</v>
      </c>
      <c r="O24" s="60">
        <f t="shared" si="7"/>
        <v>39763060.506791696</v>
      </c>
      <c r="P24" s="60">
        <f t="shared" si="7"/>
        <v>39351757.548292503</v>
      </c>
      <c r="Q24" s="60">
        <f t="shared" si="7"/>
        <v>38545307.807246394</v>
      </c>
      <c r="R24" s="60">
        <f t="shared" si="7"/>
        <v>38554858.066200316</v>
      </c>
      <c r="S24" s="60">
        <f t="shared" si="7"/>
        <v>38156408.325154215</v>
      </c>
      <c r="T24" s="60">
        <f t="shared" si="7"/>
        <v>37590811.801561207</v>
      </c>
      <c r="U24" s="60">
        <f t="shared" si="7"/>
        <v>37372362.060515106</v>
      </c>
      <c r="V24" s="60">
        <f t="shared" si="7"/>
        <v>0</v>
      </c>
    </row>
    <row r="25" spans="1:37" s="48" customFormat="1" x14ac:dyDescent="0.2">
      <c r="A25" s="61" t="s">
        <v>260</v>
      </c>
      <c r="B25" s="62">
        <f>IRR(B24:V24)</f>
        <v>0.17124927738714413</v>
      </c>
      <c r="C25" s="61">
        <f>IRR(B24:C24)</f>
        <v>-0.79403847764839464</v>
      </c>
      <c r="D25" s="61">
        <f>IRR(B24:D24)</f>
        <v>-0.43428465155122442</v>
      </c>
      <c r="E25" s="61">
        <f>IRR(B24:E24)</f>
        <v>-0.21246224071697073</v>
      </c>
      <c r="F25" s="61">
        <f>IRR(B24:F24)</f>
        <v>-9.3302962833125447E-2</v>
      </c>
      <c r="G25" s="61">
        <f>IRR(B24:G24)</f>
        <v>-1.6173626209637582E-2</v>
      </c>
      <c r="H25" s="61">
        <f>IRR(B24:H24)</f>
        <v>3.5520617673164834E-2</v>
      </c>
      <c r="I25" s="61">
        <f>IRR(B24:I24)</f>
        <v>7.1381823603221539E-2</v>
      </c>
      <c r="J25" s="61">
        <f>IRR(B24:J24)</f>
        <v>9.6844868377081061E-2</v>
      </c>
      <c r="K25" s="61">
        <f>IRR(B24:K24)</f>
        <v>0.11531493113324109</v>
      </c>
      <c r="L25" s="61">
        <f>IRR(B24:L24)</f>
        <v>0.12903467333239549</v>
      </c>
      <c r="M25" s="61">
        <f>IRR(B24:M24)</f>
        <v>0.13939421905114835</v>
      </c>
      <c r="N25" s="61">
        <f>IRR(B24:N24)</f>
        <v>0.14731137995604104</v>
      </c>
      <c r="O25" s="61">
        <f>IRR(B24:O24)</f>
        <v>0.15348975845966972</v>
      </c>
      <c r="P25" s="61">
        <f>IRR(B24:P24)</f>
        <v>0.15833746253953218</v>
      </c>
      <c r="Q25" s="61">
        <f>IRR(B24:Q24)</f>
        <v>0.16213676964258839</v>
      </c>
      <c r="R25" s="61">
        <f>IRR(B24:R24)</f>
        <v>0.16520057950264189</v>
      </c>
      <c r="S25" s="61">
        <f>IRR(B24:S24)</f>
        <v>0.16766029537136307</v>
      </c>
      <c r="T25" s="61">
        <f>IRR(B24:T24)</f>
        <v>0.16963748108318422</v>
      </c>
      <c r="U25" s="61">
        <f>IRR(B24:U24)</f>
        <v>0.17124927738714413</v>
      </c>
      <c r="V25" s="61">
        <f>IRR(B24:V24)</f>
        <v>0.17124927738714413</v>
      </c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</row>
    <row r="26" spans="1:37" x14ac:dyDescent="0.2">
      <c r="A26" s="60" t="s">
        <v>261</v>
      </c>
      <c r="B26" s="60">
        <f>B24</f>
        <v>-253963897.24254295</v>
      </c>
      <c r="C26" s="60">
        <f>C24+B26</f>
        <v>-201657106.34412214</v>
      </c>
      <c r="D26" s="60">
        <f>D24+C26</f>
        <v>-149970815.59860963</v>
      </c>
      <c r="E26" s="60">
        <f t="shared" ref="E26:V26" si="8">E24+D26</f>
        <v>-99070251.192840889</v>
      </c>
      <c r="F26" s="60">
        <f t="shared" si="8"/>
        <v>-55061252.927947506</v>
      </c>
      <c r="G26" s="60">
        <f t="shared" si="8"/>
        <v>-11768676.926271915</v>
      </c>
      <c r="H26" s="60">
        <f t="shared" si="8"/>
        <v>31109183.247092076</v>
      </c>
      <c r="I26" s="60">
        <f t="shared" si="8"/>
        <v>73730034.027050674</v>
      </c>
      <c r="J26" s="60">
        <f t="shared" si="8"/>
        <v>115888168.97869766</v>
      </c>
      <c r="K26" s="60">
        <f t="shared" si="8"/>
        <v>157442147.75439233</v>
      </c>
      <c r="L26" s="60">
        <f t="shared" si="8"/>
        <v>198523970.35413471</v>
      </c>
      <c r="M26" s="60">
        <f t="shared" si="8"/>
        <v>239109636.77792481</v>
      </c>
      <c r="N26" s="60">
        <f t="shared" si="8"/>
        <v>279104000.24321568</v>
      </c>
      <c r="O26" s="60">
        <f t="shared" si="8"/>
        <v>318867060.75000739</v>
      </c>
      <c r="P26" s="60">
        <f t="shared" si="8"/>
        <v>358218818.29829991</v>
      </c>
      <c r="Q26" s="60">
        <f t="shared" si="8"/>
        <v>396764126.1055463</v>
      </c>
      <c r="R26" s="60">
        <f t="shared" si="8"/>
        <v>435318984.17174661</v>
      </c>
      <c r="S26" s="60">
        <f t="shared" si="8"/>
        <v>473475392.4969008</v>
      </c>
      <c r="T26" s="60">
        <f t="shared" si="8"/>
        <v>511066204.29846203</v>
      </c>
      <c r="U26" s="60">
        <f t="shared" si="8"/>
        <v>548438566.35897708</v>
      </c>
      <c r="V26" s="60">
        <f t="shared" si="8"/>
        <v>548438566.35897708</v>
      </c>
    </row>
    <row r="27" spans="1:37" x14ac:dyDescent="0.2">
      <c r="C27" s="60">
        <f>IF(C26*B26&lt;0,1,0)</f>
        <v>0</v>
      </c>
      <c r="D27" s="60">
        <f>IF(D26*C26&lt;0,1,0)</f>
        <v>0</v>
      </c>
      <c r="E27" s="60">
        <f t="shared" ref="E27:V27" si="9">IF(E26*D26&lt;0,1,0)</f>
        <v>0</v>
      </c>
      <c r="F27" s="60">
        <f t="shared" si="9"/>
        <v>0</v>
      </c>
      <c r="G27" s="60">
        <f t="shared" si="9"/>
        <v>0</v>
      </c>
      <c r="H27" s="60">
        <f t="shared" si="9"/>
        <v>1</v>
      </c>
      <c r="I27" s="60">
        <f t="shared" si="9"/>
        <v>0</v>
      </c>
      <c r="J27" s="60">
        <f t="shared" si="9"/>
        <v>0</v>
      </c>
      <c r="K27" s="60">
        <f t="shared" si="9"/>
        <v>0</v>
      </c>
      <c r="L27" s="60">
        <f t="shared" si="9"/>
        <v>0</v>
      </c>
      <c r="M27" s="60">
        <f t="shared" si="9"/>
        <v>0</v>
      </c>
      <c r="N27" s="60">
        <f t="shared" si="9"/>
        <v>0</v>
      </c>
      <c r="O27" s="60">
        <f t="shared" si="9"/>
        <v>0</v>
      </c>
      <c r="P27" s="60">
        <f t="shared" si="9"/>
        <v>0</v>
      </c>
      <c r="Q27" s="60">
        <f t="shared" si="9"/>
        <v>0</v>
      </c>
      <c r="R27" s="60">
        <f t="shared" si="9"/>
        <v>0</v>
      </c>
      <c r="S27" s="60">
        <f t="shared" si="9"/>
        <v>0</v>
      </c>
      <c r="T27" s="60">
        <f t="shared" si="9"/>
        <v>0</v>
      </c>
      <c r="U27" s="60">
        <f t="shared" si="9"/>
        <v>0</v>
      </c>
      <c r="V27" s="60">
        <f t="shared" si="9"/>
        <v>0</v>
      </c>
    </row>
    <row r="28" spans="1:37" x14ac:dyDescent="0.2">
      <c r="A28" s="60" t="s">
        <v>262</v>
      </c>
      <c r="B28" s="64">
        <f>SUM(C28:V28)</f>
        <v>5.2744697818102102</v>
      </c>
      <c r="C28" s="60">
        <f>IF(C27=1,B2+(0-B26)/C24,0)</f>
        <v>0</v>
      </c>
      <c r="D28" s="60">
        <f t="shared" ref="D28:V28" si="10">IF(D27=1,C2+(0-C26)/D24,0)</f>
        <v>0</v>
      </c>
      <c r="E28" s="60">
        <f t="shared" si="10"/>
        <v>0</v>
      </c>
      <c r="F28" s="60">
        <f t="shared" si="10"/>
        <v>0</v>
      </c>
      <c r="G28" s="60">
        <f t="shared" si="10"/>
        <v>0</v>
      </c>
      <c r="H28" s="60">
        <f t="shared" si="10"/>
        <v>5.2744697818102102</v>
      </c>
      <c r="I28" s="60">
        <f t="shared" si="10"/>
        <v>0</v>
      </c>
      <c r="J28" s="60">
        <f t="shared" si="10"/>
        <v>0</v>
      </c>
      <c r="K28" s="60">
        <f t="shared" si="10"/>
        <v>0</v>
      </c>
      <c r="L28" s="60">
        <f t="shared" si="10"/>
        <v>0</v>
      </c>
      <c r="M28" s="60">
        <f t="shared" si="10"/>
        <v>0</v>
      </c>
      <c r="N28" s="60">
        <f t="shared" si="10"/>
        <v>0</v>
      </c>
      <c r="O28" s="60">
        <f t="shared" si="10"/>
        <v>0</v>
      </c>
      <c r="P28" s="60">
        <f t="shared" si="10"/>
        <v>0</v>
      </c>
      <c r="Q28" s="60">
        <f t="shared" si="10"/>
        <v>0</v>
      </c>
      <c r="R28" s="60">
        <f t="shared" si="10"/>
        <v>0</v>
      </c>
      <c r="S28" s="60">
        <f t="shared" si="10"/>
        <v>0</v>
      </c>
      <c r="T28" s="60">
        <f t="shared" si="10"/>
        <v>0</v>
      </c>
      <c r="U28" s="60">
        <f t="shared" si="10"/>
        <v>0</v>
      </c>
      <c r="V28" s="60">
        <f t="shared" si="10"/>
        <v>0</v>
      </c>
    </row>
    <row r="31" spans="1:37" x14ac:dyDescent="0.2">
      <c r="H31" s="60">
        <v>25259324.318203926</v>
      </c>
      <c r="I31" s="60">
        <v>68300979.628235519</v>
      </c>
      <c r="J31" s="60">
        <v>110779693.13145387</v>
      </c>
      <c r="K31" s="60">
        <v>152541053.09180507</v>
      </c>
    </row>
    <row r="32" spans="1:37" x14ac:dyDescent="0.2">
      <c r="H32" s="60">
        <v>8845237.5578885004</v>
      </c>
      <c r="I32" s="60">
        <v>51701350.722979829</v>
      </c>
      <c r="J32" s="60">
        <v>94094748.059759557</v>
      </c>
      <c r="K32" s="60">
        <v>135883989.22058699</v>
      </c>
      <c r="L32" s="60">
        <v>177201074.20546213</v>
      </c>
      <c r="M32" s="60">
        <v>218022003.01438496</v>
      </c>
      <c r="N32" s="60">
        <v>258251628.86480862</v>
      </c>
      <c r="O32" s="60">
        <v>298249951.75673306</v>
      </c>
      <c r="P32" s="60">
        <v>337836971.69015831</v>
      </c>
      <c r="Q32" s="60">
        <v>376617541.88253742</v>
      </c>
    </row>
    <row r="34" spans="3:15" x14ac:dyDescent="0.2">
      <c r="C34" s="60">
        <v>-182506985.79613492</v>
      </c>
      <c r="D34" s="60">
        <v>-130195910.86237526</v>
      </c>
      <c r="E34" s="60">
        <v>-78947189.857789934</v>
      </c>
      <c r="F34" s="60">
        <v>-34609944.106765814</v>
      </c>
      <c r="G34" s="60">
        <v>8846800.9136338979</v>
      </c>
      <c r="H34" s="60">
        <v>51750221.731301293</v>
      </c>
      <c r="I34" s="60">
        <v>94257906.610182434</v>
      </c>
      <c r="J34" s="60">
        <v>136202649.68225035</v>
      </c>
      <c r="K34" s="60">
        <v>177430039.21145111</v>
      </c>
      <c r="L34" s="60">
        <v>218084869.32975772</v>
      </c>
      <c r="M34" s="60">
        <v>258155934.1691432</v>
      </c>
      <c r="N34" s="60">
        <v>258155934.1691432</v>
      </c>
      <c r="O34" s="60">
        <v>258155934.1691432</v>
      </c>
    </row>
  </sheetData>
  <mergeCells count="1">
    <mergeCell ref="A2:A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展示总表</vt:lpstr>
      <vt:lpstr>直流侧成本构成</vt:lpstr>
      <vt:lpstr>交流侧成本构成</vt:lpstr>
      <vt:lpstr>施工耗材基建成本构成</vt:lpstr>
      <vt:lpstr>运营期间费用构成</vt:lpstr>
      <vt:lpstr>累计充电电费及累计放电量</vt:lpstr>
      <vt:lpstr>经济性测算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2026-03-11T02:39:22Z</dcterms:modified>
</cp:coreProperties>
</file>