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55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模式一经济账" sheetId="2" state="visible" r:id="rId2"/>
    <sheet xmlns:r="http://schemas.openxmlformats.org/officeDocument/2006/relationships" name="模式二经济账" sheetId="3" state="visible" r:id="rId3"/>
    <sheet xmlns:r="http://schemas.openxmlformats.org/officeDocument/2006/relationships" name="现货市场价格" sheetId="4" state="visible" r:id="rId4"/>
    <sheet xmlns:r="http://schemas.openxmlformats.org/officeDocument/2006/relationships" name="省份梯队划分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rgb="FF006100"/>
      <sz val="12"/>
      <scheme val="minor"/>
    </font>
    <font>
      <name val="宋体"/>
      <charset val="134"/>
      <b val="1"/>
      <color rgb="FF9C0006"/>
      <sz val="12"/>
      <scheme val="minor"/>
    </font>
    <font>
      <name val="宋体"/>
      <charset val="134"/>
      <i val="1"/>
      <color rgb="FF666666"/>
      <sz val="10"/>
      <scheme val="minor"/>
    </font>
    <font>
      <name val="宋体"/>
      <charset val="134"/>
      <b val="1"/>
      <color rgb="FFFFFFFF"/>
      <sz val="16"/>
      <scheme val="minor"/>
    </font>
    <font>
      <name val="宋体"/>
      <charset val="134"/>
      <b val="1"/>
      <sz val="13"/>
      <scheme val="minor"/>
    </font>
    <font>
      <name val="宋体"/>
      <charset val="134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color rgb="FF1F4E79"/>
      <sz val="24"/>
      <scheme val="minor"/>
    </font>
    <font>
      <name val="宋体"/>
      <charset val="134"/>
      <color rgb="FF666666"/>
      <sz val="16"/>
      <scheme val="minor"/>
    </font>
    <font>
      <name val="宋体"/>
      <charset val="134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28"/>
    </font>
    <font>
      <color rgb="00FFFFFF"/>
      <sz val="16"/>
    </font>
    <font>
      <color rgb="007F8C8D"/>
      <sz val="10"/>
    </font>
    <font>
      <b val="1"/>
      <color rgb="00FFFFFF"/>
      <sz val="18"/>
    </font>
    <font>
      <b val="1"/>
      <color rgb="00FFFFFF"/>
      <sz val="11"/>
    </font>
    <font>
      <color rgb="002C3E50"/>
      <sz val="10"/>
    </font>
    <font>
      <b val="1"/>
      <sz val="11"/>
    </font>
    <font>
      <b val="1"/>
      <color rgb="00FFFFFF"/>
      <sz val="16"/>
    </font>
    <font>
      <b val="1"/>
      <color rgb="0027AE60"/>
    </font>
    <font>
      <color rgb="00E74C3C"/>
    </font>
    <font>
      <b val="1"/>
      <color rgb="002C3E50"/>
      <sz val="10"/>
    </font>
    <font>
      <b val="1"/>
    </font>
    <font>
      <b val="1"/>
      <color rgb="00FFFFFF"/>
      <sz val="14"/>
    </font>
    <font>
      <sz val="10"/>
    </font>
  </fonts>
  <fills count="4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2F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A5276"/>
        <bgColor rgb="001A5276"/>
      </patternFill>
    </fill>
    <fill>
      <patternFill patternType="solid">
        <fgColor rgb="002980B9"/>
        <bgColor rgb="002980B9"/>
      </patternFill>
    </fill>
    <fill>
      <patternFill patternType="solid">
        <fgColor rgb="00D6EAF8"/>
        <bgColor rgb="00D6EAF8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6" fillId="10" borderId="14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15" applyAlignment="1">
      <alignment vertical="center"/>
    </xf>
    <xf numFmtId="0" fontId="24" fillId="0" borderId="15" applyAlignment="1">
      <alignment vertical="center"/>
    </xf>
    <xf numFmtId="0" fontId="25" fillId="0" borderId="16" applyAlignment="1">
      <alignment vertical="center"/>
    </xf>
    <xf numFmtId="0" fontId="25" fillId="0" borderId="0" applyAlignment="1">
      <alignment vertical="center"/>
    </xf>
    <xf numFmtId="0" fontId="26" fillId="11" borderId="17" applyAlignment="1">
      <alignment vertical="center"/>
    </xf>
    <xf numFmtId="0" fontId="27" fillId="12" borderId="18" applyAlignment="1">
      <alignment vertical="center"/>
    </xf>
    <xf numFmtId="0" fontId="28" fillId="12" borderId="17" applyAlignment="1">
      <alignment vertical="center"/>
    </xf>
    <xf numFmtId="0" fontId="29" fillId="13" borderId="19" applyAlignment="1">
      <alignment vertical="center"/>
    </xf>
    <xf numFmtId="0" fontId="30" fillId="0" borderId="20" applyAlignment="1">
      <alignment vertical="center"/>
    </xf>
    <xf numFmtId="0" fontId="31" fillId="0" borderId="21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5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5" fillId="20" borderId="0" applyAlignment="1">
      <alignment vertical="center"/>
    </xf>
    <xf numFmtId="0" fontId="35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5" fillId="32" borderId="0" applyAlignment="1">
      <alignment vertical="center"/>
    </xf>
    <xf numFmtId="0" fontId="35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5" fillId="36" borderId="0" applyAlignment="1">
      <alignment vertical="center"/>
    </xf>
    <xf numFmtId="0" fontId="35" fillId="37" borderId="0" applyAlignment="1">
      <alignment vertical="center"/>
    </xf>
    <xf numFmtId="0" fontId="36" fillId="38" borderId="0" applyAlignment="1">
      <alignment vertical="center"/>
    </xf>
    <xf numFmtId="0" fontId="36" fillId="39" borderId="0" applyAlignment="1">
      <alignment vertical="center"/>
    </xf>
    <xf numFmtId="0" fontId="35" fillId="40" borderId="0" applyAlignment="1">
      <alignment vertical="center"/>
    </xf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" fillId="9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2" fillId="9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14" fillId="5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/>
    </xf>
    <xf numFmtId="0" fontId="0" fillId="0" borderId="13" pivotButton="0" quotePrefix="0" xfId="0"/>
    <xf numFmtId="9" fontId="12" fillId="0" borderId="1" applyAlignment="1" pivotButton="0" quotePrefix="0" xfId="0">
      <alignment horizontal="center" vertical="center" wrapText="1"/>
    </xf>
    <xf numFmtId="10" fontId="12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17" fillId="0" borderId="0" applyAlignment="1" pivotButton="0" quotePrefix="0" xfId="0">
      <alignment horizontal="left" vertical="center"/>
    </xf>
    <xf numFmtId="0" fontId="37" fillId="41" borderId="0" applyAlignment="1" pivotButton="0" quotePrefix="0" xfId="0">
      <alignment horizontal="center" vertical="center"/>
    </xf>
    <xf numFmtId="0" fontId="38" fillId="42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/>
    </xf>
    <xf numFmtId="0" fontId="40" fillId="41" borderId="0" applyAlignment="1" pivotButton="0" quotePrefix="0" xfId="0">
      <alignment horizontal="center" vertical="center"/>
    </xf>
    <xf numFmtId="0" fontId="41" fillId="41" borderId="23" applyAlignment="1" pivotButton="0" quotePrefix="0" xfId="0">
      <alignment horizontal="center" vertical="center"/>
    </xf>
    <xf numFmtId="0" fontId="43" fillId="45" borderId="2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42" fillId="44" borderId="23" applyAlignment="1" pivotButton="0" quotePrefix="0" xfId="0">
      <alignment horizontal="center" vertical="center"/>
    </xf>
    <xf numFmtId="0" fontId="42" fillId="43" borderId="23" applyAlignment="1" pivotButton="0" quotePrefix="0" xfId="0">
      <alignment horizontal="center" vertical="center"/>
    </xf>
    <xf numFmtId="9" fontId="42" fillId="43" borderId="23" applyAlignment="1" pivotButton="0" quotePrefix="0" xfId="0">
      <alignment horizontal="center" vertical="center"/>
    </xf>
    <xf numFmtId="10" fontId="42" fillId="44" borderId="23" applyAlignment="1" pivotButton="0" quotePrefix="0" xfId="0">
      <alignment horizontal="center" vertical="center"/>
    </xf>
    <xf numFmtId="0" fontId="44" fillId="41" borderId="0" applyAlignment="1" pivotButton="0" quotePrefix="0" xfId="0">
      <alignment horizontal="center" vertical="center"/>
    </xf>
    <xf numFmtId="0" fontId="48" fillId="47" borderId="23" applyAlignment="1" pivotButton="0" quotePrefix="0" xfId="0">
      <alignment horizontal="center" vertical="center"/>
    </xf>
    <xf numFmtId="0" fontId="46" fillId="46" borderId="23" applyAlignment="1" pivotButton="0" quotePrefix="0" xfId="0">
      <alignment horizontal="center" vertical="center"/>
    </xf>
    <xf numFmtId="0" fontId="45" fillId="45" borderId="23" applyAlignment="1" pivotButton="0" quotePrefix="0" xfId="0">
      <alignment horizontal="center" vertical="center"/>
    </xf>
    <xf numFmtId="0" fontId="49" fillId="41" borderId="0" applyAlignment="1" pivotButton="0" quotePrefix="0" xfId="0">
      <alignment horizontal="center" vertical="center"/>
    </xf>
    <xf numFmtId="0" fontId="48" fillId="47" borderId="1" applyAlignment="1" pivotButton="0" quotePrefix="0" xfId="0">
      <alignment horizontal="center" vertical="center"/>
    </xf>
    <xf numFmtId="0" fontId="48" fillId="47" borderId="1" applyAlignment="1" pivotButton="0" quotePrefix="0" xfId="0">
      <alignment horizontal="left" vertical="center"/>
    </xf>
    <xf numFmtId="0" fontId="48" fillId="47" borderId="2" applyAlignment="1" pivotButton="0" quotePrefix="0" xfId="0">
      <alignment horizontal="center" vertical="center"/>
    </xf>
    <xf numFmtId="0" fontId="48" fillId="47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9" fillId="41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9" fillId="41" borderId="9" applyAlignment="1" pivotButton="0" quotePrefix="0" xfId="0">
      <alignment horizontal="center" vertical="center"/>
    </xf>
    <xf numFmtId="0" fontId="50" fillId="43" borderId="23" applyAlignment="1" pivotButton="0" quotePrefix="0" xfId="0">
      <alignment horizontal="center" vertical="center"/>
    </xf>
    <xf numFmtId="0" fontId="50" fillId="44" borderId="2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0000"/>
      <rgbColor rgb="00FFFF00"/>
      <rgbColor rgb="000000FF"/>
      <rgbColor rgb="00FF00FF"/>
      <rgbColor rgb="00FF00FF"/>
      <rgbColor rgb="0000FFFF"/>
      <rgbColor rgb="00800000"/>
      <rgbColor rgb="00000000"/>
      <rgbColor rgb="00000080"/>
      <rgbColor rgb="00FFFFFF"/>
      <rgbColor rgb="00800080"/>
      <rgbColor rgb="00FF0000"/>
      <rgbColor rgb="00C0C0C0"/>
      <rgbColor rgb="0000FF00"/>
      <rgbColor rgb="009999FF"/>
      <rgbColor rgb="000000FF"/>
      <rgbColor rgb="00FFFFCC"/>
      <rgbColor rgb="00FFFF00"/>
      <rgbColor rgb="00660066"/>
      <rgbColor rgb="00FF00FF"/>
      <rgbColor rgb="000066CC"/>
      <rgbColor rgb="0000FFFF"/>
      <rgbColor rgb="00000080"/>
      <rgbColor rgb="00800000"/>
      <rgbColor rgb="00FFFF00"/>
      <rgbColor rgb="00008000"/>
      <rgbColor rgb="00800080"/>
      <rgbColor rgb="00000080"/>
      <rgbColor rgb="00008080"/>
      <rgbColor rgb="00808000"/>
      <rgbColor rgb="0000CCFF"/>
      <rgbColor rgb="00800080"/>
      <rgbColor rgb="00CCFFCC"/>
      <rgbColor rgb="00008080"/>
      <rgbColor rgb="0099CCFF"/>
      <rgbColor rgb="00C0C0C0"/>
      <rgbColor rgb="00CC99FF"/>
      <rgbColor rgb="00808080"/>
      <rgbColor rgb="003366FF"/>
      <rgbColor rgb="009999FF"/>
      <rgbColor rgb="0099CC00"/>
      <rgbColor rgb="00993366"/>
      <rgbColor rgb="00FF9900"/>
      <rgbColor rgb="00FFFFCC"/>
      <rgbColor rgb="00666699"/>
      <rgbColor rgb="00CCFFFF"/>
      <rgbColor rgb="00003366"/>
      <rgbColor rgb="00660066"/>
      <rgbColor rgb="00003300"/>
      <rgbColor rgb="00FF8080"/>
      <rgbColor rgb="00993300"/>
      <rgbColor rgb="000066CC"/>
      <rgbColor rgb="00333399"/>
      <rgbColor rgb="00CCCC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tabSelected="1" workbookViewId="0">
      <selection activeCell="C19" sqref="C19"/>
    </sheetView>
  </sheetViews>
  <sheetFormatPr baseColWidth="8" defaultColWidth="9" defaultRowHeight="13.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2" customHeight="1">
      <c r="A1" s="54" t="inlineStr">
        <is>
          <t>工商业储能市场开拓分析报告</t>
        </is>
      </c>
    </row>
    <row r="2" ht="22" customHeight="1"/>
    <row r="3" ht="22" customHeight="1"/>
    <row r="4" ht="22" customHeight="1"/>
    <row r="5" ht="22" customHeight="1"/>
    <row r="6" ht="22" customHeight="1">
      <c r="A6" s="55" t="inlineStr">
        <is>
          <t>2026年3月</t>
        </is>
      </c>
    </row>
    <row r="7" ht="22" customHeight="1"/>
    <row r="8" ht="22" customHeight="1"/>
    <row r="9" ht="22" customHeight="1">
      <c r="A9" s="52" t="inlineStr">
        <is>
          <t>目 录</t>
        </is>
      </c>
    </row>
    <row r="10" ht="22" customHeight="1">
      <c r="A10" s="53" t="inlineStr">
        <is>
          <t>2. 模式一经济账（纯储能）</t>
        </is>
      </c>
    </row>
    <row r="11" ht="22" customHeight="1">
      <c r="A11" s="56" t="inlineStr">
        <is>
          <t>数据来源：各省电力交易中心 | 分析日期：2026年3月</t>
        </is>
      </c>
    </row>
    <row r="12" ht="22" customHeight="1">
      <c r="A12" s="53" t="inlineStr">
        <is>
          <t>4. 现货市场价格数据</t>
        </is>
      </c>
    </row>
    <row r="13" ht="22" customHeight="1">
      <c r="A13" s="53" t="inlineStr">
        <is>
          <t>5. 省份梯队划分</t>
        </is>
      </c>
    </row>
    <row r="14" ht="22" customHeight="1"/>
  </sheetData>
  <mergeCells count="10">
    <mergeCell ref="A13:G13"/>
    <mergeCell ref="A1:G5"/>
    <mergeCell ref="A9:G9"/>
    <mergeCell ref="A3:G3"/>
    <mergeCell ref="A12:G12"/>
    <mergeCell ref="A7:G7"/>
    <mergeCell ref="A11:G11"/>
    <mergeCell ref="A10:G10"/>
    <mergeCell ref="A5:G5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E21" sqref="E21"/>
    </sheetView>
  </sheetViews>
  <sheetFormatPr baseColWidth="8" defaultColWidth="9" defaultRowHeight="13.5"/>
  <cols>
    <col width="20" customWidth="1" min="1" max="7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57" t="inlineStr">
        <is>
          <t>模式一：纯储能投资经济账（10MWh）</t>
        </is>
      </c>
    </row>
    <row r="2" ht="30" customHeight="1"/>
    <row r="3" ht="22" customHeight="1">
      <c r="A3" s="58" t="inlineStr">
        <is>
          <t>⚠️ 核心门槛结论</t>
        </is>
      </c>
      <c r="B3" s="58" t="n"/>
      <c r="C3" s="58" t="n"/>
      <c r="D3" s="58" t="n"/>
      <c r="E3" s="58" t="n"/>
      <c r="F3" s="58" t="n"/>
      <c r="G3" s="58" t="n"/>
      <c r="H3" s="58" t="n"/>
    </row>
    <row r="4" ht="20" customHeight="1">
      <c r="A4" s="59" t="inlineStr">
        <is>
          <t>IRR=10% 需要电价差</t>
        </is>
      </c>
      <c r="B4" s="60" t="n"/>
      <c r="C4" s="60" t="n"/>
      <c r="D4" s="60" t="n"/>
      <c r="E4" s="60" t="n"/>
      <c r="F4" s="60" t="n"/>
      <c r="G4" s="60" t="n"/>
      <c r="H4" s="61" t="n"/>
    </row>
    <row r="5" ht="20" customHeight="1">
      <c r="A5" s="62" t="inlineStr">
        <is>
          <t>回收期≤7年 需要电价差</t>
        </is>
      </c>
      <c r="B5" s="62" t="n"/>
      <c r="C5" s="62" t="inlineStr">
        <is>
          <t>≥ 0.47 元/kWh</t>
        </is>
      </c>
      <c r="D5" s="62" t="inlineStr">
        <is>
          <t>✅ 满足则7年内回本</t>
        </is>
      </c>
      <c r="E5" s="62" t="n"/>
      <c r="F5" s="62" t="n"/>
      <c r="G5" s="62" t="n"/>
      <c r="H5" s="62" t="n"/>
    </row>
    <row r="6" ht="20" customHeight="1">
      <c r="A6" s="63" t="n"/>
      <c r="B6" s="63" t="n"/>
      <c r="C6" s="63" t="n"/>
      <c r="D6" s="63" t="n"/>
      <c r="E6" s="63" t="n"/>
      <c r="F6" s="63" t="n"/>
      <c r="G6" s="63" t="n"/>
      <c r="H6" s="63" t="n"/>
    </row>
    <row r="7" ht="20" customHeight="1">
      <c r="A7" s="62" t="inlineStr">
        <is>
          <t>基础参数</t>
        </is>
      </c>
      <c r="B7" s="62" t="n"/>
      <c r="C7" s="62" t="n"/>
      <c r="D7" s="62" t="n"/>
      <c r="E7" s="62" t="n"/>
      <c r="F7" s="62" t="n"/>
      <c r="G7" s="62" t="n"/>
      <c r="H7" s="62" t="n"/>
    </row>
    <row r="8" ht="20" customHeight="1">
      <c r="A8" s="63" t="inlineStr">
        <is>
          <t>储能容量</t>
        </is>
      </c>
      <c r="B8" s="63" t="n"/>
      <c r="C8" s="63" t="inlineStr">
        <is>
          <t>10 MWh</t>
        </is>
      </c>
      <c r="D8" s="63" t="n"/>
      <c r="E8" s="63" t="inlineStr">
        <is>
          <t>放电深度</t>
        </is>
      </c>
      <c r="F8" s="64" t="n">
        <v>0.95</v>
      </c>
      <c r="G8" s="63" t="n"/>
      <c r="H8" s="63" t="n"/>
    </row>
    <row r="9" ht="20" customHeight="1">
      <c r="A9" s="62" t="inlineStr">
        <is>
          <t>总投资</t>
        </is>
      </c>
      <c r="B9" s="62" t="n"/>
      <c r="C9" s="62" t="inlineStr">
        <is>
          <t>1,000万元</t>
        </is>
      </c>
      <c r="D9" s="62" t="n"/>
      <c r="E9" s="62" t="inlineStr">
        <is>
          <t>年充放次数</t>
        </is>
      </c>
      <c r="F9" s="62" t="inlineStr">
        <is>
          <t>330次</t>
        </is>
      </c>
      <c r="G9" s="62" t="n"/>
      <c r="H9" s="62" t="n"/>
    </row>
    <row r="10" ht="20" customHeight="1">
      <c r="A10" s="63" t="inlineStr">
        <is>
          <t>设备成本</t>
        </is>
      </c>
      <c r="B10" s="63" t="n"/>
      <c r="C10" s="63" t="inlineStr">
        <is>
          <t>0.80 元/Wh</t>
        </is>
      </c>
      <c r="D10" s="63" t="n"/>
      <c r="E10" s="63" t="inlineStr">
        <is>
          <t>充放电效率</t>
        </is>
      </c>
      <c r="F10" s="64" t="n">
        <v>0.88</v>
      </c>
      <c r="G10" s="63" t="n"/>
      <c r="H10" s="63" t="n"/>
    </row>
    <row r="11" ht="20" customHeight="1">
      <c r="A11" s="62" t="inlineStr">
        <is>
          <t>施工成本</t>
        </is>
      </c>
      <c r="B11" s="62" t="n"/>
      <c r="C11" s="62" t="inlineStr">
        <is>
          <t>0.20 元/Wh</t>
        </is>
      </c>
      <c r="D11" s="62" t="n"/>
      <c r="E11" s="62" t="inlineStr">
        <is>
          <t>年衰减率</t>
        </is>
      </c>
      <c r="F11" s="65" t="n">
        <v>0.015</v>
      </c>
      <c r="G11" s="62" t="n"/>
      <c r="H11" s="62" t="n"/>
    </row>
    <row r="12" ht="20" customHeight="1">
      <c r="A12" s="63" t="inlineStr">
        <is>
          <t>单位成本</t>
        </is>
      </c>
      <c r="B12" s="63" t="n"/>
      <c r="C12" s="63" t="inlineStr">
        <is>
          <t>1.00 元/Wh</t>
        </is>
      </c>
      <c r="D12" s="63" t="n"/>
      <c r="E12" s="63" t="inlineStr">
        <is>
          <t>使用年限</t>
        </is>
      </c>
      <c r="F12" s="63" t="inlineStr">
        <is>
          <t>10年</t>
        </is>
      </c>
      <c r="G12" s="63" t="n"/>
      <c r="H12" s="63" t="n"/>
    </row>
    <row r="13" ht="20" customHeight="1">
      <c r="A13" s="62" t="inlineStr">
        <is>
          <t>运营成本</t>
        </is>
      </c>
      <c r="B13" s="62" t="n"/>
      <c r="C13" s="62" t="inlineStr">
        <is>
          <t>10万元/年</t>
        </is>
      </c>
      <c r="D13" s="62" t="n"/>
      <c r="E13" s="62" t="inlineStr"/>
      <c r="F13" s="62" t="inlineStr"/>
      <c r="G13" s="62" t="n"/>
      <c r="H13" s="62" t="n"/>
    </row>
  </sheetData>
  <mergeCells count="13">
    <mergeCell ref="A4:B4"/>
    <mergeCell ref="A4:H4"/>
    <mergeCell ref="A7:H7"/>
    <mergeCell ref="A11:B11"/>
    <mergeCell ref="A10:B10"/>
    <mergeCell ref="A5:B5"/>
    <mergeCell ref="A13:B13"/>
    <mergeCell ref="A3:C3"/>
    <mergeCell ref="A1:H1"/>
    <mergeCell ref="A9:B9"/>
    <mergeCell ref="A1:H2"/>
    <mergeCell ref="A8:B8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F6" sqref="F6"/>
    </sheetView>
  </sheetViews>
  <sheetFormatPr baseColWidth="8" defaultColWidth="9" defaultRowHeight="13.5"/>
  <cols>
    <col width="20" customWidth="1" min="1" max="7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57" t="inlineStr">
        <is>
          <t>模式二：光储一体化投资经济账（1MW+3MWh）</t>
        </is>
      </c>
    </row>
    <row r="2" ht="30" customHeight="1"/>
    <row r="3" ht="22" customHeight="1">
      <c r="A3" s="58" t="inlineStr">
        <is>
          <t>⚠️ 核心门槛结论</t>
        </is>
      </c>
      <c r="B3" s="58" t="n"/>
      <c r="C3" s="58" t="n"/>
      <c r="D3" s="58" t="n"/>
      <c r="E3" s="58" t="n"/>
      <c r="F3" s="58" t="n"/>
      <c r="G3" s="58" t="n"/>
      <c r="H3" s="58" t="n"/>
    </row>
    <row r="4" ht="20" customHeight="1">
      <c r="A4" s="63" t="inlineStr">
        <is>
          <t>最优配置</t>
        </is>
      </c>
      <c r="B4" s="63" t="n"/>
      <c r="C4" s="63" t="inlineStr">
        <is>
          <t>1MW光伏 + 3MWh储能</t>
        </is>
      </c>
      <c r="D4" s="63" t="inlineStr">
        <is>
          <t>光伏利用率98%（最佳配比）</t>
        </is>
      </c>
      <c r="E4" s="63" t="n"/>
      <c r="F4" s="63" t="n"/>
      <c r="G4" s="63" t="n"/>
      <c r="H4" s="63" t="n"/>
    </row>
    <row r="5" ht="20" customHeight="1">
      <c r="A5" s="62" t="inlineStr">
        <is>
          <t>IRR=8% 需要储能卖电价</t>
        </is>
      </c>
      <c r="B5" s="62" t="n"/>
      <c r="C5" s="62" t="inlineStr">
        <is>
          <t>≥ 0.5260 元/kWh</t>
        </is>
      </c>
      <c r="D5" s="62" t="inlineStr">
        <is>
          <t>✅ 达到则IRR≥8%</t>
        </is>
      </c>
      <c r="E5" s="62" t="inlineStr">
        <is>
          <t>现货+输配满足即可。输配电价0.13考虑</t>
        </is>
      </c>
      <c r="F5" s="62" t="n"/>
      <c r="G5" s="62" t="n"/>
      <c r="H5" s="62" t="n"/>
    </row>
    <row r="6" ht="20" customHeight="1">
      <c r="A6" s="63" t="inlineStr">
        <is>
          <t>IRR=10% 需要储能卖电价</t>
        </is>
      </c>
      <c r="B6" s="63" t="n"/>
      <c r="C6" s="63" t="inlineStr">
        <is>
          <t>≥ 0.6350 元/kWh</t>
        </is>
      </c>
      <c r="D6" s="63" t="inlineStr">
        <is>
          <t>✅ 达到则IRR≥10%</t>
        </is>
      </c>
      <c r="E6" s="63" t="n"/>
      <c r="F6" s="63" t="n"/>
      <c r="G6" s="63" t="n"/>
      <c r="H6" s="63" t="n"/>
    </row>
    <row r="7" ht="20" customHeight="1">
      <c r="A7" s="62" t="n"/>
      <c r="B7" s="62" t="n"/>
      <c r="C7" s="62" t="n"/>
      <c r="D7" s="62" t="n"/>
      <c r="E7" s="62" t="n"/>
      <c r="F7" s="62" t="n"/>
      <c r="G7" s="62" t="n"/>
      <c r="H7" s="62" t="n"/>
    </row>
    <row r="8" ht="20" customHeight="1">
      <c r="A8" s="63" t="inlineStr">
        <is>
          <t>基础参数</t>
        </is>
      </c>
      <c r="B8" s="63" t="n"/>
      <c r="C8" s="63" t="n"/>
      <c r="D8" s="63" t="n"/>
      <c r="E8" s="63" t="n"/>
      <c r="F8" s="63" t="n"/>
      <c r="G8" s="63" t="n"/>
      <c r="H8" s="63" t="n"/>
    </row>
    <row r="9" ht="20" customHeight="1">
      <c r="A9" s="62" t="inlineStr">
        <is>
          <t>光伏装机</t>
        </is>
      </c>
      <c r="B9" s="62" t="inlineStr">
        <is>
          <t>1 MW</t>
        </is>
      </c>
      <c r="C9" s="62" t="n"/>
      <c r="D9" s="62" t="n"/>
      <c r="E9" s="62" t="inlineStr">
        <is>
          <t>储能容量</t>
        </is>
      </c>
      <c r="F9" s="62" t="inlineStr">
        <is>
          <t>3 MWh</t>
        </is>
      </c>
      <c r="G9" s="62" t="n"/>
      <c r="H9" s="62" t="n"/>
    </row>
    <row r="10" ht="20" customHeight="1">
      <c r="A10" s="63" t="inlineStr">
        <is>
          <t>光伏成本</t>
        </is>
      </c>
      <c r="B10" s="63" t="inlineStr">
        <is>
          <t>2 元/W (200万)</t>
        </is>
      </c>
      <c r="C10" s="63" t="n"/>
      <c r="D10" s="63" t="n"/>
      <c r="E10" s="63" t="inlineStr">
        <is>
          <t>储能成本</t>
        </is>
      </c>
      <c r="F10" s="63" t="inlineStr">
        <is>
          <t>1 元/Wh (300万)</t>
        </is>
      </c>
      <c r="G10" s="63" t="n"/>
      <c r="H10" s="63" t="n"/>
    </row>
    <row r="11" ht="20" customHeight="1">
      <c r="A11" s="62" t="inlineStr">
        <is>
          <t>总投资</t>
        </is>
      </c>
      <c r="B11" s="62" t="inlineStr">
        <is>
          <t>500万元</t>
        </is>
      </c>
      <c r="C11" s="62" t="n"/>
      <c r="D11" s="62" t="n"/>
      <c r="E11" s="62" t="inlineStr">
        <is>
          <t>日照</t>
        </is>
      </c>
      <c r="F11" s="62" t="inlineStr">
        <is>
          <t>1200h/年 (河南)</t>
        </is>
      </c>
      <c r="G11" s="62" t="n"/>
      <c r="H11" s="62" t="n"/>
    </row>
    <row r="12" ht="20" customHeight="1">
      <c r="A12" s="63" t="inlineStr">
        <is>
          <t>光伏效率</t>
        </is>
      </c>
      <c r="B12" s="63" t="inlineStr">
        <is>
          <t>80%</t>
        </is>
      </c>
      <c r="C12" s="63" t="n"/>
      <c r="D12" s="63" t="n"/>
      <c r="E12" s="63" t="inlineStr">
        <is>
          <t>储能衰减</t>
        </is>
      </c>
      <c r="F12" s="63" t="inlineStr">
        <is>
          <t>1.5%/年</t>
        </is>
      </c>
      <c r="G12" s="63" t="n"/>
      <c r="H12" s="63" t="n"/>
    </row>
    <row r="13" ht="20" customHeight="1">
      <c r="A13" s="62" t="inlineStr">
        <is>
          <t>充放效率</t>
        </is>
      </c>
      <c r="B13" s="62" t="inlineStr">
        <is>
          <t>88%</t>
        </is>
      </c>
      <c r="C13" s="62" t="n"/>
      <c r="D13" s="62" t="n"/>
      <c r="E13" s="62" t="inlineStr">
        <is>
          <t>运行年限</t>
        </is>
      </c>
      <c r="F13" s="62" t="inlineStr">
        <is>
          <t>20年</t>
        </is>
      </c>
      <c r="G13" s="62" t="n"/>
      <c r="H13" s="62" t="n"/>
    </row>
    <row r="14" ht="20" customHeight="1">
      <c r="A14" s="63" t="inlineStr">
        <is>
          <t>充放次数</t>
        </is>
      </c>
      <c r="B14" s="63" t="inlineStr">
        <is>
          <t>330次/年</t>
        </is>
      </c>
      <c r="C14" s="63" t="n"/>
      <c r="D14" s="63" t="n"/>
      <c r="E14" s="63" t="inlineStr">
        <is>
          <t>放电深度</t>
        </is>
      </c>
      <c r="F14" s="63" t="inlineStr">
        <is>
          <t>95%</t>
        </is>
      </c>
      <c r="G14" s="63" t="n"/>
      <c r="H14" s="63" t="n"/>
    </row>
    <row r="15" ht="20" customHeight="1">
      <c r="A15" s="62" t="inlineStr">
        <is>
          <t>直售电价</t>
        </is>
      </c>
      <c r="B15" s="62" t="inlineStr">
        <is>
          <t>0.25 元/kWh</t>
        </is>
      </c>
      <c r="C15" s="62" t="n"/>
      <c r="D15" s="62" t="n"/>
      <c r="E15" s="62" t="inlineStr">
        <is>
          <t>换电芯</t>
        </is>
      </c>
      <c r="F15" s="62" t="inlineStr">
        <is>
          <t>不换</t>
        </is>
      </c>
      <c r="G15" s="62" t="n"/>
      <c r="H15" s="62" t="n"/>
    </row>
    <row r="16" ht="20" customHeight="1">
      <c r="A16" s="63" t="n"/>
      <c r="B16" s="63" t="n"/>
      <c r="C16" s="63" t="n"/>
      <c r="D16" s="63" t="n"/>
      <c r="E16" s="63" t="n"/>
      <c r="F16" s="63" t="n"/>
      <c r="G16" s="63" t="n"/>
      <c r="H16" s="63" t="n"/>
    </row>
    <row r="17" ht="20" customHeight="1">
      <c r="A17" s="62" t="n"/>
      <c r="B17" s="62" t="n"/>
      <c r="C17" s="62" t="n"/>
      <c r="D17" s="62" t="n"/>
      <c r="E17" s="62" t="n"/>
      <c r="F17" s="62" t="n"/>
      <c r="G17" s="62" t="n"/>
      <c r="H17" s="62" t="n"/>
    </row>
    <row r="18" ht="20" customHeight="1">
      <c r="A18" s="63" t="inlineStr">
        <is>
          <t>不同储能配置对比（1MW光伏）</t>
        </is>
      </c>
      <c r="B18" s="63" t="n"/>
      <c r="C18" s="63" t="n"/>
      <c r="D18" s="63" t="n"/>
      <c r="E18" s="63" t="n"/>
      <c r="F18" s="63" t="n"/>
      <c r="G18" s="63" t="n"/>
      <c r="H18" s="63" t="n"/>
    </row>
    <row r="19" ht="20" customHeight="1">
      <c r="A19" s="62" t="inlineStr">
        <is>
          <t>配置</t>
        </is>
      </c>
      <c r="B19" s="62" t="inlineStr">
        <is>
          <t>储能</t>
        </is>
      </c>
      <c r="C19" s="62" t="inlineStr">
        <is>
          <t>总投资</t>
        </is>
      </c>
      <c r="D19" s="62" t="inlineStr">
        <is>
          <t>光伏利用</t>
        </is>
      </c>
      <c r="E19" s="62" t="inlineStr">
        <is>
          <t>IRR=8%门槛</t>
        </is>
      </c>
      <c r="F19" s="62" t="inlineStr">
        <is>
          <t>IRR=10%门槛</t>
        </is>
      </c>
      <c r="G19" s="62" t="inlineStr">
        <is>
          <t>推荐</t>
        </is>
      </c>
      <c r="H19" s="62" t="n"/>
    </row>
    <row r="20" ht="20" customHeight="1">
      <c r="A20" s="63" t="inlineStr">
        <is>
          <t>A</t>
        </is>
      </c>
      <c r="B20" s="63" t="inlineStr">
        <is>
          <t>1 MWh</t>
        </is>
      </c>
      <c r="C20" s="63" t="inlineStr">
        <is>
          <t>300万</t>
        </is>
      </c>
      <c r="D20" s="63" t="inlineStr">
        <is>
          <t>32.7%</t>
        </is>
      </c>
      <c r="E20" s="63" t="inlineStr">
        <is>
          <t>0.670</t>
        </is>
      </c>
      <c r="F20" s="63" t="inlineStr">
        <is>
          <t>0.845</t>
        </is>
      </c>
      <c r="G20" s="63" t="inlineStr">
        <is>
          <t>⚡</t>
        </is>
      </c>
      <c r="H20" s="63" t="n"/>
    </row>
    <row r="21" ht="20" customHeight="1">
      <c r="A21" s="62" t="inlineStr">
        <is>
          <t>B</t>
        </is>
      </c>
      <c r="B21" s="62" t="inlineStr">
        <is>
          <t>2 MWh</t>
        </is>
      </c>
      <c r="C21" s="62" t="inlineStr">
        <is>
          <t>400万</t>
        </is>
      </c>
      <c r="D21" s="62" t="inlineStr">
        <is>
          <t>65.4%</t>
        </is>
      </c>
      <c r="E21" s="62" t="inlineStr">
        <is>
          <t>0.682</t>
        </is>
      </c>
      <c r="F21" s="62" t="inlineStr">
        <is>
          <t>0.799</t>
        </is>
      </c>
      <c r="G21" s="62" t="inlineStr">
        <is>
          <t>⚡</t>
        </is>
      </c>
      <c r="H21" s="62" t="n"/>
    </row>
    <row r="22" ht="20" customHeight="1">
      <c r="A22" s="63" t="inlineStr">
        <is>
          <t>C</t>
        </is>
      </c>
      <c r="B22" s="63" t="inlineStr">
        <is>
          <t>3 MWh</t>
        </is>
      </c>
      <c r="C22" s="63" t="inlineStr">
        <is>
          <t>500万</t>
        </is>
      </c>
      <c r="D22" s="63" t="inlineStr">
        <is>
          <t>98.0%</t>
        </is>
      </c>
      <c r="E22" s="63" t="inlineStr">
        <is>
          <t>0.526</t>
        </is>
      </c>
      <c r="F22" s="63" t="inlineStr">
        <is>
          <t>0.635</t>
        </is>
      </c>
      <c r="G22" s="63" t="inlineStr">
        <is>
          <t>✅最优</t>
        </is>
      </c>
      <c r="H22" s="63" t="n"/>
    </row>
    <row r="23" ht="20" customHeight="1">
      <c r="A23" s="62" t="inlineStr">
        <is>
          <t>D</t>
        </is>
      </c>
      <c r="B23" s="62" t="inlineStr">
        <is>
          <t>4 MWh</t>
        </is>
      </c>
      <c r="C23" s="62" t="inlineStr">
        <is>
          <t>600万</t>
        </is>
      </c>
      <c r="D23" s="62" t="inlineStr">
        <is>
          <t>131%</t>
        </is>
      </c>
      <c r="E23" s="62" t="inlineStr">
        <is>
          <t>0.860</t>
        </is>
      </c>
      <c r="F23" s="62" t="inlineStr">
        <is>
          <t>0.981</t>
        </is>
      </c>
      <c r="G23" s="62" t="inlineStr">
        <is>
          <t>❌</t>
        </is>
      </c>
      <c r="H23" s="62" t="n"/>
    </row>
    <row r="24" ht="20" customHeight="1">
      <c r="A24" s="63" t="n"/>
      <c r="B24" s="63" t="n"/>
      <c r="C24" s="63" t="n"/>
      <c r="D24" s="63" t="n"/>
      <c r="E24" s="63" t="n"/>
      <c r="F24" s="63" t="n"/>
      <c r="G24" s="63" t="n"/>
      <c r="H24" s="63" t="n"/>
    </row>
    <row r="25" ht="20" customHeight="1">
      <c r="A25" s="62" t="n"/>
      <c r="B25" s="62" t="n"/>
      <c r="C25" s="62" t="n"/>
      <c r="D25" s="62" t="n"/>
      <c r="E25" s="62" t="n"/>
      <c r="F25" s="62" t="n"/>
      <c r="G25" s="62" t="n"/>
      <c r="H25" s="62" t="n"/>
    </row>
    <row r="26" ht="20" customHeight="1">
      <c r="A26" s="63" t="inlineStr">
        <is>
          <t>敏感性分析 - 储能卖电价IRR对照</t>
        </is>
      </c>
      <c r="B26" s="63" t="n"/>
      <c r="C26" s="63" t="n"/>
      <c r="D26" s="63" t="n"/>
      <c r="E26" s="63" t="n"/>
      <c r="F26" s="63" t="n"/>
      <c r="G26" s="63" t="n"/>
      <c r="H26" s="63" t="n"/>
    </row>
    <row r="27" ht="20" customHeight="1">
      <c r="A27" s="62" t="inlineStr">
        <is>
          <t>储能卖电价</t>
        </is>
      </c>
      <c r="B27" s="62" t="inlineStr">
        <is>
          <t>IRR</t>
        </is>
      </c>
      <c r="C27" s="62" t="inlineStr">
        <is>
          <t>20年净收益</t>
        </is>
      </c>
      <c r="D27" s="62" t="inlineStr">
        <is>
          <t>结论</t>
        </is>
      </c>
      <c r="E27" s="62" t="n"/>
      <c r="F27" s="62" t="n"/>
      <c r="G27" s="62" t="n"/>
      <c r="H27" s="62" t="n"/>
    </row>
    <row r="28" ht="20" customHeight="1">
      <c r="A28" s="63" t="inlineStr">
        <is>
          <t>0.50 元/kWh</t>
        </is>
      </c>
      <c r="B28" s="63" t="inlineStr">
        <is>
          <t>6.2%</t>
        </is>
      </c>
      <c r="C28" s="63" t="inlineStr">
        <is>
          <t>~350万</t>
        </is>
      </c>
      <c r="D28" s="63" t="inlineStr">
        <is>
          <t>❌ 不达标</t>
        </is>
      </c>
      <c r="E28" s="63" t="n"/>
      <c r="F28" s="63" t="n"/>
      <c r="G28" s="63" t="n"/>
      <c r="H28" s="63" t="n"/>
    </row>
    <row r="29" ht="20" customHeight="1">
      <c r="A29" s="62" t="inlineStr">
        <is>
          <t>0.55 元/kWh</t>
        </is>
      </c>
      <c r="B29" s="62" t="inlineStr">
        <is>
          <t>7.8%</t>
        </is>
      </c>
      <c r="C29" s="62" t="inlineStr">
        <is>
          <t>~420万</t>
        </is>
      </c>
      <c r="D29" s="62" t="inlineStr">
        <is>
          <t>⚠️ 接近8%</t>
        </is>
      </c>
      <c r="E29" s="62" t="n"/>
      <c r="F29" s="62" t="n"/>
      <c r="G29" s="62" t="n"/>
      <c r="H29" s="62" t="n"/>
    </row>
    <row r="30" ht="20" customHeight="1">
      <c r="A30" s="63" t="inlineStr">
        <is>
          <t>0.60 元/kWh</t>
        </is>
      </c>
      <c r="B30" s="63" t="inlineStr">
        <is>
          <t>9.3%</t>
        </is>
      </c>
      <c r="C30" s="63" t="inlineStr">
        <is>
          <t>~500万</t>
        </is>
      </c>
      <c r="D30" s="63" t="inlineStr">
        <is>
          <t>⚠️ 接近10%</t>
        </is>
      </c>
      <c r="E30" s="63" t="n"/>
      <c r="F30" s="63" t="n"/>
      <c r="G30" s="63" t="n"/>
      <c r="H30" s="63" t="n"/>
    </row>
    <row r="31" ht="20" customHeight="1">
      <c r="A31" s="62" t="inlineStr">
        <is>
          <t>0.65 元/kWh</t>
        </is>
      </c>
      <c r="B31" s="62" t="inlineStr">
        <is>
          <t>10.8%</t>
        </is>
      </c>
      <c r="C31" s="62" t="inlineStr">
        <is>
          <t>~580万</t>
        </is>
      </c>
      <c r="D31" s="62" t="inlineStr">
        <is>
          <t>✅ 达标</t>
        </is>
      </c>
      <c r="E31" s="62" t="n"/>
      <c r="F31" s="62" t="n"/>
      <c r="G31" s="62" t="n"/>
      <c r="H31" s="62" t="n"/>
    </row>
    <row r="32" ht="20" customHeight="1">
      <c r="A32" s="63" t="inlineStr">
        <is>
          <t>0.70 元/kWh</t>
        </is>
      </c>
      <c r="B32" s="63" t="inlineStr">
        <is>
          <t>12.2%</t>
        </is>
      </c>
      <c r="C32" s="63" t="inlineStr">
        <is>
          <t>~650万</t>
        </is>
      </c>
      <c r="D32" s="63" t="inlineStr">
        <is>
          <t>✅ 达标</t>
        </is>
      </c>
      <c r="E32" s="63" t="n"/>
      <c r="F32" s="63" t="n"/>
      <c r="G32" s="63" t="n"/>
      <c r="H32" s="63" t="n"/>
    </row>
    <row r="33" ht="20" customHeight="1">
      <c r="A33" s="62" t="inlineStr">
        <is>
          <t>0.80 元/kWh</t>
        </is>
      </c>
      <c r="B33" s="62" t="inlineStr">
        <is>
          <t>15.0%</t>
        </is>
      </c>
      <c r="C33" s="62" t="inlineStr">
        <is>
          <t>~780万</t>
        </is>
      </c>
      <c r="D33" s="62" t="inlineStr">
        <is>
          <t>✅ 达标</t>
        </is>
      </c>
      <c r="E33" s="62" t="n"/>
      <c r="F33" s="62" t="n"/>
      <c r="G33" s="62" t="n"/>
      <c r="H33" s="62" t="n"/>
    </row>
  </sheetData>
  <mergeCells count="10">
    <mergeCell ref="A4:B4"/>
    <mergeCell ref="A18:H18"/>
    <mergeCell ref="E5:E6"/>
    <mergeCell ref="A26:H26"/>
    <mergeCell ref="A5:B5"/>
    <mergeCell ref="A3:C3"/>
    <mergeCell ref="A1:H1"/>
    <mergeCell ref="A1:H2"/>
    <mergeCell ref="A8:H8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H21" sqref="H21"/>
    </sheetView>
  </sheetViews>
  <sheetFormatPr baseColWidth="8" defaultColWidth="9" defaultRowHeight="13.5"/>
  <cols>
    <col width="12" customWidth="1" min="1" max="7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66" t="inlineStr">
        <is>
          <t>各省电力现货市场价格数据（2026.3.19-26）</t>
        </is>
      </c>
    </row>
    <row r="2" ht="30" customHeight="1"/>
    <row r="3" ht="22" customHeight="1">
      <c r="A3" s="58" t="inlineStr">
        <is>
          <t>省份</t>
        </is>
      </c>
      <c r="B3" s="58" t="inlineStr">
        <is>
          <t>实时最低</t>
        </is>
      </c>
      <c r="C3" s="58" t="inlineStr">
        <is>
          <t>实时最高</t>
        </is>
      </c>
      <c r="D3" s="58" t="inlineStr">
        <is>
          <t>价差</t>
        </is>
      </c>
      <c r="E3" s="58" t="inlineStr">
        <is>
          <t>负电价</t>
        </is>
      </c>
      <c r="F3" s="58" t="inlineStr">
        <is>
          <t>模式一IRR≥10%</t>
        </is>
      </c>
      <c r="G3" s="58" t="inlineStr">
        <is>
          <t>模式一回收期≤7年</t>
        </is>
      </c>
      <c r="H3" s="58" t="inlineStr">
        <is>
          <t>模式二IRR≥8%</t>
        </is>
      </c>
      <c r="I3" s="58" t="inlineStr">
        <is>
          <t>模式二IRR≥10%</t>
        </is>
      </c>
    </row>
    <row r="4" ht="20" customHeight="1">
      <c r="A4" s="67" t="inlineStr">
        <is>
          <t>山东</t>
        </is>
      </c>
      <c r="B4" s="67" t="n">
        <v>0.129</v>
      </c>
      <c r="C4" s="67" t="n">
        <v>0.763</v>
      </c>
      <c r="D4" s="67">
        <f>C4-B4</f>
        <v/>
      </c>
      <c r="E4" s="67" t="inlineStr">
        <is>
          <t>频繁(-0.07)</t>
        </is>
      </c>
      <c r="F4" s="67" t="inlineStr">
        <is>
          <t>✅满足</t>
        </is>
      </c>
      <c r="G4" s="67" t="inlineStr">
        <is>
          <t>✅满足</t>
        </is>
      </c>
      <c r="H4" s="67" t="inlineStr">
        <is>
          <t>✅满足</t>
        </is>
      </c>
      <c r="I4" s="67" t="inlineStr">
        <is>
          <t>✅满足</t>
        </is>
      </c>
    </row>
    <row r="5" ht="20" customHeight="1">
      <c r="A5" s="62" t="inlineStr">
        <is>
          <t>山西</t>
        </is>
      </c>
      <c r="B5" s="62" t="n">
        <v>0.197</v>
      </c>
      <c r="C5" s="62" t="n">
        <v>0.39</v>
      </c>
      <c r="D5" s="62">
        <f>C5-B5</f>
        <v/>
      </c>
      <c r="E5" s="62" t="inlineStr">
        <is>
          <t>频繁零/负</t>
        </is>
      </c>
      <c r="F5" s="68" t="inlineStr">
        <is>
          <t>❌不满足</t>
        </is>
      </c>
      <c r="G5" s="68" t="inlineStr">
        <is>
          <t>❌不满足</t>
        </is>
      </c>
      <c r="H5" s="69" t="inlineStr">
        <is>
          <t>✅满足</t>
        </is>
      </c>
      <c r="I5" s="68" t="inlineStr">
        <is>
          <t>❌不满足</t>
        </is>
      </c>
    </row>
    <row r="6" ht="20" customHeight="1">
      <c r="A6" s="63" t="inlineStr">
        <is>
          <t>广东</t>
        </is>
      </c>
      <c r="B6" s="63" t="n">
        <v>-0.012</v>
      </c>
      <c r="C6" s="63" t="n">
        <v>0.315</v>
      </c>
      <c r="D6" s="63">
        <f>C6-B6</f>
        <v/>
      </c>
      <c r="E6" s="63" t="inlineStr">
        <is>
          <t>极少</t>
        </is>
      </c>
      <c r="F6" s="68" t="inlineStr">
        <is>
          <t>❌不满足</t>
        </is>
      </c>
      <c r="G6" s="68" t="inlineStr">
        <is>
          <t>❌不满足</t>
        </is>
      </c>
      <c r="H6" s="68" t="inlineStr">
        <is>
          <t>❌不满足</t>
        </is>
      </c>
      <c r="I6" s="68" t="inlineStr">
        <is>
          <t>❌不满足</t>
        </is>
      </c>
    </row>
    <row r="7" ht="20" customHeight="1">
      <c r="A7" s="62" t="inlineStr">
        <is>
          <t>甘肃</t>
        </is>
      </c>
      <c r="B7" s="62" t="n">
        <v>0.274</v>
      </c>
      <c r="C7" s="62" t="n">
        <v>0.308</v>
      </c>
      <c r="D7" s="62">
        <f>C7-B7</f>
        <v/>
      </c>
      <c r="E7" s="62" t="inlineStr">
        <is>
          <t>地板频繁</t>
        </is>
      </c>
      <c r="F7" s="68" t="inlineStr">
        <is>
          <t>❌不满足</t>
        </is>
      </c>
      <c r="G7" s="68" t="inlineStr">
        <is>
          <t>❌不满足</t>
        </is>
      </c>
      <c r="H7" s="68" t="inlineStr">
        <is>
          <t>❌不满足</t>
        </is>
      </c>
      <c r="I7" s="68" t="inlineStr">
        <is>
          <t>❌不满足</t>
        </is>
      </c>
    </row>
    <row r="8" ht="20" customHeight="1">
      <c r="A8" s="63" t="inlineStr">
        <is>
          <t>蒙西</t>
        </is>
      </c>
      <c r="B8" s="63" t="n">
        <v>0.126</v>
      </c>
      <c r="C8" s="63" t="n">
        <v>0.369</v>
      </c>
      <c r="D8" s="63">
        <f>C8-B8</f>
        <v/>
      </c>
      <c r="E8" s="63" t="inlineStr">
        <is>
          <t>频繁(-0.20)</t>
        </is>
      </c>
      <c r="F8" s="68" t="inlineStr">
        <is>
          <t>❌不满足</t>
        </is>
      </c>
      <c r="G8" s="68" t="inlineStr">
        <is>
          <t>❌不满足</t>
        </is>
      </c>
      <c r="H8" s="68" t="inlineStr">
        <is>
          <t>❌不满足</t>
        </is>
      </c>
      <c r="I8" s="68" t="inlineStr">
        <is>
          <t>❌不满足</t>
        </is>
      </c>
    </row>
    <row r="9" ht="20" customHeight="1">
      <c r="A9" s="62" t="inlineStr">
        <is>
          <t>河南</t>
        </is>
      </c>
      <c r="B9" s="62" t="inlineStr">
        <is>
          <t>-</t>
        </is>
      </c>
      <c r="C9" s="62" t="inlineStr">
        <is>
          <t>-</t>
        </is>
      </c>
      <c r="D9" s="62" t="n">
        <v>0.4</v>
      </c>
      <c r="E9" s="62" t="n"/>
      <c r="F9" s="68" t="inlineStr">
        <is>
          <t>❌不满足</t>
        </is>
      </c>
      <c r="G9" s="68" t="inlineStr">
        <is>
          <t>❌不满足</t>
        </is>
      </c>
      <c r="H9" s="69" t="inlineStr">
        <is>
          <t>✅满足</t>
        </is>
      </c>
      <c r="I9" s="69" t="inlineStr">
        <is>
          <t>✅满足</t>
        </is>
      </c>
    </row>
    <row r="10" ht="20" customHeight="1">
      <c r="A10" s="63" t="inlineStr">
        <is>
          <t>河北南网</t>
        </is>
      </c>
      <c r="B10" s="63" t="n">
        <v>0.417</v>
      </c>
      <c r="C10" s="63" t="n">
        <v>0.702</v>
      </c>
      <c r="D10" s="63">
        <f>C10-B10</f>
        <v/>
      </c>
      <c r="E10" s="63" t="n"/>
      <c r="F10" s="68" t="inlineStr">
        <is>
          <t>❌不满足</t>
        </is>
      </c>
      <c r="G10" s="68" t="inlineStr">
        <is>
          <t>❌不满足</t>
        </is>
      </c>
      <c r="H10" s="69" t="inlineStr">
        <is>
          <t>✅满足</t>
        </is>
      </c>
      <c r="I10" s="69" t="inlineStr">
        <is>
          <t>✅满足</t>
        </is>
      </c>
    </row>
    <row r="11" ht="20" customHeight="1">
      <c r="A11" s="62" t="inlineStr">
        <is>
          <t>四川</t>
        </is>
      </c>
      <c r="B11" s="62" t="n">
        <v>0.297</v>
      </c>
      <c r="C11" s="62" t="n">
        <v>0.359</v>
      </c>
      <c r="D11" s="62">
        <f>C11-B11</f>
        <v/>
      </c>
      <c r="E11" s="62" t="n"/>
      <c r="F11" s="68" t="inlineStr">
        <is>
          <t>❌不满足</t>
        </is>
      </c>
      <c r="G11" s="68" t="inlineStr">
        <is>
          <t>❌不满足</t>
        </is>
      </c>
      <c r="H11" s="68" t="inlineStr">
        <is>
          <t>❌不满足</t>
        </is>
      </c>
      <c r="I11" s="68" t="inlineStr">
        <is>
          <t>❌不满足</t>
        </is>
      </c>
    </row>
    <row r="12" ht="20" customHeight="1">
      <c r="A12" s="63" t="inlineStr">
        <is>
          <t>辽宁</t>
        </is>
      </c>
      <c r="B12" s="63" t="n">
        <v>0</v>
      </c>
      <c r="C12" s="63" t="n">
        <v>0.61</v>
      </c>
      <c r="D12" s="63">
        <f>C12-B12</f>
        <v/>
      </c>
      <c r="E12" s="63" t="n"/>
      <c r="F12" s="69" t="inlineStr">
        <is>
          <t>✅满足</t>
        </is>
      </c>
      <c r="G12" s="69" t="inlineStr">
        <is>
          <t>✅满足</t>
        </is>
      </c>
      <c r="H12" s="69" t="inlineStr">
        <is>
          <t>✅满足</t>
        </is>
      </c>
      <c r="I12" s="69" t="inlineStr">
        <is>
          <t>✅满足</t>
        </is>
      </c>
    </row>
    <row r="13" ht="20" customHeight="1">
      <c r="A13" s="62" t="inlineStr">
        <is>
          <t>陕西</t>
        </is>
      </c>
      <c r="B13" s="62" t="n">
        <v>0.11</v>
      </c>
      <c r="C13" s="62" t="n">
        <v>0.35</v>
      </c>
      <c r="D13" s="62">
        <f>C13-B13</f>
        <v/>
      </c>
      <c r="E13" s="62" t="n"/>
      <c r="F13" s="68" t="inlineStr">
        <is>
          <t>❌不满足</t>
        </is>
      </c>
      <c r="G13" s="68" t="inlineStr">
        <is>
          <t>❌不满足</t>
        </is>
      </c>
      <c r="H13" s="68" t="inlineStr">
        <is>
          <t>❌不满足</t>
        </is>
      </c>
      <c r="I13" s="68" t="inlineStr">
        <is>
          <t>❌不满足</t>
        </is>
      </c>
    </row>
    <row r="14" ht="20" customHeight="1">
      <c r="A14" s="63" t="inlineStr">
        <is>
          <t>安徽</t>
        </is>
      </c>
      <c r="B14" s="63" t="n">
        <v>0.2</v>
      </c>
      <c r="C14" s="63" t="n">
        <v>0.42</v>
      </c>
      <c r="D14" s="63">
        <f>C14-B14</f>
        <v/>
      </c>
      <c r="E14" s="63" t="n"/>
      <c r="F14" s="68" t="inlineStr">
        <is>
          <t>❌不满足</t>
        </is>
      </c>
      <c r="G14" s="68" t="inlineStr">
        <is>
          <t>❌不满足</t>
        </is>
      </c>
      <c r="H14" s="69" t="inlineStr">
        <is>
          <t>✅满足</t>
        </is>
      </c>
      <c r="I14" s="68" t="inlineStr">
        <is>
          <t>❌不满足</t>
        </is>
      </c>
    </row>
    <row r="15" ht="20" customHeight="1">
      <c r="A15" s="62" t="inlineStr">
        <is>
          <t>湖北</t>
        </is>
      </c>
      <c r="B15" s="62" t="n">
        <v>0.03</v>
      </c>
      <c r="C15" s="62" t="n">
        <v>0.395</v>
      </c>
      <c r="D15" s="62">
        <f>C15-B15</f>
        <v/>
      </c>
      <c r="E15" s="62" t="n"/>
      <c r="F15" s="68" t="inlineStr">
        <is>
          <t>❌不满足</t>
        </is>
      </c>
      <c r="G15" s="68" t="inlineStr">
        <is>
          <t>❌不满足</t>
        </is>
      </c>
      <c r="H15" s="69" t="inlineStr">
        <is>
          <t>✅满足</t>
        </is>
      </c>
      <c r="I15" s="68" t="inlineStr">
        <is>
          <t>❌不满足</t>
        </is>
      </c>
    </row>
    <row r="16" ht="20" customHeight="1">
      <c r="A16" s="63" t="inlineStr">
        <is>
          <t>浙江</t>
        </is>
      </c>
      <c r="B16" s="63" t="n">
        <v>0.294</v>
      </c>
      <c r="C16" s="63" t="n">
        <v>0.307</v>
      </c>
      <c r="D16" s="63">
        <f>C16-B16</f>
        <v/>
      </c>
      <c r="E16" s="63" t="n"/>
      <c r="F16" s="68" t="inlineStr">
        <is>
          <t>❌不满足</t>
        </is>
      </c>
      <c r="G16" s="68" t="inlineStr">
        <is>
          <t>❌不满足</t>
        </is>
      </c>
      <c r="H16" s="68" t="inlineStr">
        <is>
          <t>❌不满足</t>
        </is>
      </c>
      <c r="I16" s="68" t="inlineStr">
        <is>
          <t>❌不满足</t>
        </is>
      </c>
    </row>
    <row r="17" ht="20" customHeight="1">
      <c r="A17" s="62" t="inlineStr">
        <is>
          <t>江苏</t>
        </is>
      </c>
      <c r="B17" s="62" t="n">
        <v>0.2</v>
      </c>
      <c r="C17" s="62" t="n">
        <v>0.3</v>
      </c>
      <c r="D17" s="62">
        <f>C17-B17</f>
        <v/>
      </c>
      <c r="E17" s="62" t="n"/>
      <c r="F17" s="68" t="inlineStr">
        <is>
          <t>❌不满足</t>
        </is>
      </c>
      <c r="G17" s="68" t="inlineStr">
        <is>
          <t>❌不满足</t>
        </is>
      </c>
      <c r="H17" s="68" t="inlineStr">
        <is>
          <t>❌不满足</t>
        </is>
      </c>
      <c r="I17" s="68" t="inlineStr">
        <is>
          <t>❌不满足</t>
        </is>
      </c>
    </row>
    <row r="18" ht="20" customHeight="1">
      <c r="A18" s="63" t="inlineStr">
        <is>
          <t>重庆</t>
        </is>
      </c>
      <c r="B18" s="63" t="n">
        <v>0</v>
      </c>
      <c r="C18" s="63" t="n">
        <v>0.5</v>
      </c>
      <c r="D18" s="63">
        <f>C18-B18</f>
        <v/>
      </c>
      <c r="E18" s="63" t="n"/>
      <c r="F18" s="68" t="inlineStr">
        <is>
          <t>❌不满足</t>
        </is>
      </c>
      <c r="G18" s="69" t="inlineStr">
        <is>
          <t>✅满足</t>
        </is>
      </c>
      <c r="H18" s="69" t="inlineStr">
        <is>
          <t>✅满足</t>
        </is>
      </c>
      <c r="I18" s="69" t="inlineStr">
        <is>
          <t>✅满足</t>
        </is>
      </c>
    </row>
    <row r="19" ht="20" customHeight="1">
      <c r="A19" s="62" t="inlineStr">
        <is>
          <t>单位说明：电价单位为 元/kWh</t>
        </is>
      </c>
      <c r="B19" s="62" t="n"/>
      <c r="C19" s="62" t="n"/>
      <c r="D19" s="62" t="n"/>
      <c r="E19" s="62" t="n"/>
      <c r="F19" s="62" t="n"/>
      <c r="G19" s="62" t="n"/>
      <c r="H19" s="62" t="n"/>
      <c r="I19" s="62" t="n"/>
    </row>
    <row r="20">
      <c r="A20" s="27" t="inlineStr">
        <is>
          <t>数据来源：各省电力交易中心2025-2026年公开数据</t>
        </is>
      </c>
    </row>
  </sheetData>
  <mergeCells count="4">
    <mergeCell ref="A1:I1"/>
    <mergeCell ref="A20:H20"/>
    <mergeCell ref="A19:H19"/>
    <mergeCell ref="A1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topLeftCell="A4" workbookViewId="0">
      <selection activeCell="I18" sqref="I18"/>
    </sheetView>
  </sheetViews>
  <sheetFormatPr baseColWidth="8" defaultColWidth="9" defaultRowHeight="13.5"/>
  <cols>
    <col width="12" customWidth="1" min="1" max="1"/>
    <col width="14" customWidth="1" min="2" max="2"/>
    <col width="14" customWidth="1" min="3" max="4"/>
    <col width="12" customWidth="1" min="4" max="4"/>
    <col width="12" customWidth="1" min="5" max="7"/>
    <col width="18" customWidth="1" min="6" max="6"/>
    <col width="20" customWidth="1" min="7" max="7"/>
  </cols>
  <sheetData>
    <row r="1" ht="30" customHeight="1">
      <c r="A1" s="57" t="inlineStr">
        <is>
          <t>省份梯队划分与开拓建议</t>
        </is>
      </c>
    </row>
    <row r="2" ht="30" customHeight="1"/>
    <row r="3" ht="25" customHeight="1">
      <c r="A3" s="70" t="inlineStr">
        <is>
          <t>模式一梯队（纯储能）</t>
        </is>
      </c>
    </row>
    <row r="4">
      <c r="A4" s="71" t="inlineStr">
        <is>
          <t>梯队</t>
        </is>
      </c>
      <c r="B4" s="71" t="inlineStr">
        <is>
          <t>省份</t>
        </is>
      </c>
      <c r="C4" s="71" t="inlineStr">
        <is>
          <t>峰谷价差</t>
        </is>
      </c>
      <c r="D4" s="72" t="inlineStr">
        <is>
          <t>现货市场</t>
        </is>
      </c>
      <c r="E4" s="73" t="inlineStr">
        <is>
          <t>开发模式</t>
        </is>
      </c>
      <c r="F4" s="74" t="n"/>
      <c r="G4" s="74" t="n"/>
    </row>
    <row r="5">
      <c r="A5" s="7" t="inlineStr">
        <is>
          <t>⭐ 第一梯队</t>
        </is>
      </c>
      <c r="B5" s="26" t="inlineStr">
        <is>
          <t>山东、辽宁</t>
        </is>
      </c>
      <c r="C5" s="26" t="inlineStr">
        <is>
          <t>0.5-0.6</t>
        </is>
      </c>
      <c r="D5" s="9" t="inlineStr">
        <is>
          <t>已开通</t>
        </is>
      </c>
      <c r="E5" s="75" t="inlineStr">
        <is>
          <t>1.开发对应省份大的售电/VPP企业，拉通资方形成“投资-设备-售电”铁三角模式进行联合开发</t>
        </is>
      </c>
      <c r="F5" s="76" t="n"/>
      <c r="G5" s="77" t="n"/>
    </row>
    <row r="6" ht="25" customHeight="1">
      <c r="A6" s="78" t="inlineStr">
        <is>
          <t>模式二梯队（光储一体化）</t>
        </is>
      </c>
      <c r="B6" s="43" t="n"/>
      <c r="C6" s="43" t="n"/>
      <c r="D6" s="43" t="n"/>
      <c r="E6" s="43" t="n"/>
      <c r="F6" s="43" t="n"/>
      <c r="G6" s="46" t="n"/>
    </row>
    <row r="7">
      <c r="A7" s="17" t="inlineStr">
        <is>
          <t>📌 第三梯队</t>
        </is>
      </c>
      <c r="B7" s="26" t="inlineStr">
        <is>
          <t>其他地区</t>
        </is>
      </c>
      <c r="C7" s="26" t="inlineStr">
        <is>
          <t>0.25~0.57</t>
        </is>
      </c>
      <c r="D7" s="9" t="inlineStr">
        <is>
          <t>待开通</t>
        </is>
      </c>
      <c r="E7" s="79" t="n"/>
      <c r="F7" s="80" t="n"/>
      <c r="G7" s="81" t="n"/>
    </row>
    <row r="9" ht="25" customHeight="1">
      <c r="A9" s="82" t="inlineStr">
        <is>
          <t>省份介绍</t>
        </is>
      </c>
      <c r="B9" s="80" t="n"/>
      <c r="C9" s="80" t="n"/>
      <c r="D9" s="80" t="n"/>
      <c r="E9" s="80" t="n"/>
      <c r="F9" s="80" t="n"/>
      <c r="G9" s="81" t="n"/>
    </row>
    <row r="10" ht="20" customHeight="1">
      <c r="A10" s="83" t="inlineStr">
        <is>
          <t>模式二梯队（光储一体化）</t>
        </is>
      </c>
    </row>
    <row r="11" ht="20" customHeight="1">
      <c r="A11" s="84" t="inlineStr">
        <is>
          <t>梯队</t>
        </is>
      </c>
      <c r="B11" s="84" t="inlineStr">
        <is>
          <t>省份</t>
        </is>
      </c>
      <c r="C11" s="84" t="inlineStr">
        <is>
          <t>分布式光伏</t>
        </is>
      </c>
      <c r="D11" s="84" t="inlineStr">
        <is>
          <t>现货市场</t>
        </is>
      </c>
      <c r="E11" s="84" t="inlineStr">
        <is>
          <t>开发模式</t>
        </is>
      </c>
    </row>
    <row r="12" ht="20" customHeight="1">
      <c r="A12" s="83" t="inlineStr">
        <is>
          <t>⭐ 第一梯队</t>
        </is>
      </c>
      <c r="B12" s="83" t="inlineStr">
        <is>
          <t>河北、山东、河南</t>
        </is>
      </c>
      <c r="C12" s="83" t="inlineStr">
        <is>
          <t>全国前五</t>
        </is>
      </c>
      <c r="D12" s="83" t="inlineStr">
        <is>
          <t>已开通</t>
        </is>
      </c>
      <c r="E12" s="83" t="inlineStr">
        <is>
          <t>1.已按照光伏的企业：开发光伏投资方购买储能。
2.未安装光伏的企业：光储一起开发</t>
        </is>
      </c>
      <c r="F12" s="76" t="n"/>
      <c r="G12" s="77" t="n"/>
    </row>
    <row r="13" ht="20" customHeight="1">
      <c r="A13" s="84" t="inlineStr">
        <is>
          <t>⚠️ 第二梯队</t>
        </is>
      </c>
      <c r="B13" s="84" t="inlineStr">
        <is>
          <t>辽宁、重庆</t>
        </is>
      </c>
      <c r="C13" s="84" t="inlineStr">
        <is>
          <t>日照资源低于第一梯队</t>
        </is>
      </c>
      <c r="D13" s="84" t="inlineStr">
        <is>
          <t>已开通</t>
        </is>
      </c>
      <c r="E13" s="85" t="n"/>
      <c r="G13" s="86" t="n"/>
    </row>
    <row r="14" ht="20" customHeight="1">
      <c r="A14" s="83" t="inlineStr">
        <is>
          <t>📌 第三梯队</t>
        </is>
      </c>
      <c r="B14" s="83" t="inlineStr">
        <is>
          <t>其他省份</t>
        </is>
      </c>
      <c r="C14" s="83" t="inlineStr">
        <is>
          <t>一般</t>
        </is>
      </c>
      <c r="D14" s="83" t="inlineStr">
        <is>
          <t>待开通</t>
        </is>
      </c>
      <c r="E14" s="79" t="n"/>
      <c r="F14" s="80" t="n"/>
      <c r="G14" s="81" t="n"/>
    </row>
    <row r="15" ht="20" customHeight="1"/>
    <row r="16" ht="20" customHeight="1"/>
    <row r="17" ht="20" customHeight="1">
      <c r="A17" s="84" t="inlineStr">
        <is>
          <t>省份介绍</t>
        </is>
      </c>
    </row>
    <row r="18" ht="20" customHeight="1">
      <c r="A18" s="83" t="inlineStr">
        <is>
          <t>省份</t>
        </is>
      </c>
      <c r="B18" s="83" t="inlineStr">
        <is>
          <t>地区</t>
        </is>
      </c>
      <c r="C18" s="83" t="inlineStr">
        <is>
          <t>行业分类</t>
        </is>
      </c>
      <c r="D18" s="83" t="inlineStr">
        <is>
          <t>企业名称</t>
        </is>
      </c>
      <c r="E18" s="83" t="inlineStr">
        <is>
          <t>产能/产量</t>
        </is>
      </c>
      <c r="F18" s="83" t="inlineStr">
        <is>
          <t>能耗指标</t>
        </is>
      </c>
      <c r="G18" s="83" t="inlineStr">
        <is>
          <t>备注</t>
        </is>
      </c>
    </row>
    <row r="19" ht="20" customHeight="1">
      <c r="A19" s="84" t="inlineStr">
        <is>
          <t>山东省</t>
        </is>
      </c>
      <c r="B19" s="84" t="inlineStr">
        <is>
          <t>华东地区</t>
        </is>
      </c>
      <c r="C19" s="84" t="inlineStr">
        <is>
          <t>钢铁行业</t>
        </is>
      </c>
      <c r="D19" s="84" t="inlineStr">
        <is>
          <t>山东钢铁集团有限公司</t>
        </is>
      </c>
      <c r="E19" s="84" t="inlineStr">
        <is>
          <t>&gt;3000万吨/年</t>
        </is>
      </c>
      <c r="F19" s="84" t="inlineStr">
        <is>
          <t>-</t>
        </is>
      </c>
      <c r="G19" s="84" t="inlineStr">
        <is>
          <t>山东省最大钢铁企业</t>
        </is>
      </c>
    </row>
    <row r="20" ht="20" customHeight="1">
      <c r="A20" s="83" t="inlineStr">
        <is>
          <t>山东省</t>
        </is>
      </c>
      <c r="B20" s="83" t="inlineStr">
        <is>
          <t>华东地区</t>
        </is>
      </c>
      <c r="C20" s="83" t="inlineStr">
        <is>
          <t>钢铁行业</t>
        </is>
      </c>
      <c r="D20" s="83" t="inlineStr">
        <is>
          <t>日照钢铁控股集团有限公司</t>
        </is>
      </c>
      <c r="E20" s="83" t="inlineStr">
        <is>
          <t>&gt;1500万吨/年</t>
        </is>
      </c>
      <c r="F20" s="83" t="inlineStr">
        <is>
          <t>转炉工序能耗-30.73 kgce/t</t>
        </is>
      </c>
      <c r="G20" s="83" t="inlineStr">
        <is>
          <t>ESP无头带钢技术领先</t>
        </is>
      </c>
    </row>
    <row r="21" ht="20" customHeight="1">
      <c r="A21" s="84" t="inlineStr">
        <is>
          <t>山东省</t>
        </is>
      </c>
      <c r="B21" s="84" t="inlineStr">
        <is>
          <t>华东地区</t>
        </is>
      </c>
      <c r="C21" s="84" t="inlineStr">
        <is>
          <t>水泥行业</t>
        </is>
      </c>
      <c r="D21" s="84" t="inlineStr">
        <is>
          <t>山东山水水泥集团有限公司</t>
        </is>
      </c>
      <c r="E21" s="84" t="inlineStr">
        <is>
          <t>水泥产能&gt;1亿吨/年</t>
        </is>
      </c>
      <c r="F21" s="84" t="inlineStr">
        <is>
          <t>-</t>
        </is>
      </c>
      <c r="G21" s="84" t="inlineStr">
        <is>
          <t>山东省最大水泥企业</t>
        </is>
      </c>
    </row>
    <row r="22" ht="20" customHeight="1">
      <c r="A22" s="83" t="inlineStr">
        <is>
          <t>山东省</t>
        </is>
      </c>
      <c r="B22" s="83" t="inlineStr">
        <is>
          <t>华东地区</t>
        </is>
      </c>
      <c r="C22" s="83" t="inlineStr">
        <is>
          <t>电解铝</t>
        </is>
      </c>
      <c r="D22" s="83" t="inlineStr">
        <is>
          <t>山东南山铝业股份有限公司</t>
        </is>
      </c>
      <c r="E22" s="83" t="inlineStr">
        <is>
          <t>~100万吨/年</t>
        </is>
      </c>
      <c r="F22" s="83" t="inlineStr">
        <is>
          <t>-</t>
        </is>
      </c>
      <c r="G22" s="83" t="inlineStr">
        <is>
          <t>铝加工一体化龙头企业</t>
        </is>
      </c>
    </row>
    <row r="23" ht="20" customHeight="1">
      <c r="A23" s="84" t="inlineStr">
        <is>
          <t>山东省</t>
        </is>
      </c>
      <c r="B23" s="84" t="inlineStr">
        <is>
          <t>华东地区</t>
        </is>
      </c>
      <c r="C23" s="84" t="inlineStr">
        <is>
          <t>石化行业</t>
        </is>
      </c>
      <c r="D23" s="84" t="inlineStr">
        <is>
          <t>山东裕龙石化有限公司</t>
        </is>
      </c>
      <c r="E23" s="84" t="inlineStr">
        <is>
          <t>炼油4000万吨/年，乙烯300万吨/年</t>
        </is>
      </c>
      <c r="F23" s="84" t="inlineStr">
        <is>
          <t>吨原油能耗45-50 kgce/t</t>
        </is>
      </c>
      <c r="G23" s="84" t="inlineStr">
        <is>
          <t>投资1178.57亿元</t>
        </is>
      </c>
    </row>
    <row r="24" ht="20" customHeight="1">
      <c r="A24" s="83" t="inlineStr">
        <is>
          <t>山东省</t>
        </is>
      </c>
      <c r="B24" s="83" t="inlineStr">
        <is>
          <t>华东地区</t>
        </is>
      </c>
      <c r="C24" s="83" t="inlineStr">
        <is>
          <t>石化行业</t>
        </is>
      </c>
      <c r="D24" s="83" t="inlineStr">
        <is>
          <t>山东东明石化集团有限公司</t>
        </is>
      </c>
      <c r="E24" s="83" t="inlineStr">
        <is>
          <t>炼油1500万吨/年</t>
        </is>
      </c>
      <c r="F24" s="83" t="inlineStr">
        <is>
          <t>-</t>
        </is>
      </c>
      <c r="G24" s="83" t="inlineStr">
        <is>
          <t>民营石化龙头企业</t>
        </is>
      </c>
    </row>
    <row r="25" ht="20" customHeight="1">
      <c r="A25" s="84" t="inlineStr">
        <is>
          <t>山东省</t>
        </is>
      </c>
      <c r="B25" s="84" t="inlineStr">
        <is>
          <t>华东地区</t>
        </is>
      </c>
      <c r="C25" s="84" t="inlineStr">
        <is>
          <t>装备制造</t>
        </is>
      </c>
      <c r="D25" s="84" t="inlineStr">
        <is>
          <t>潍柴动力股份有限公司</t>
        </is>
      </c>
      <c r="E25" s="84" t="inlineStr">
        <is>
          <t>发动机产能全球前列</t>
        </is>
      </c>
      <c r="F25" s="84" t="inlineStr">
        <is>
          <t>-</t>
        </is>
      </c>
      <c r="G25" s="84" t="inlineStr">
        <is>
          <t>中国最大汽车零部件制造企业</t>
        </is>
      </c>
    </row>
    <row r="26" ht="20" customHeight="1">
      <c r="A26" s="83" t="inlineStr">
        <is>
          <t>山东省</t>
        </is>
      </c>
      <c r="B26" s="83" t="inlineStr">
        <is>
          <t>华东地区</t>
        </is>
      </c>
      <c r="C26" s="83" t="inlineStr">
        <is>
          <t>纺织行业</t>
        </is>
      </c>
      <c r="D26" s="83" t="inlineStr">
        <is>
          <t>魏桥纺织股份有限公司</t>
        </is>
      </c>
      <c r="E26" s="83" t="inlineStr">
        <is>
          <t>棉纺织产能全球前列</t>
        </is>
      </c>
      <c r="F26" s="83" t="inlineStr">
        <is>
          <t>-</t>
        </is>
      </c>
      <c r="G26" s="83" t="inlineStr">
        <is>
          <t>全球最大棉纺织企业</t>
        </is>
      </c>
    </row>
    <row r="27" ht="20" customHeight="1">
      <c r="A27" s="84" t="inlineStr">
        <is>
          <t>山东省</t>
        </is>
      </c>
      <c r="B27" s="84" t="inlineStr">
        <is>
          <t>华东地区</t>
        </is>
      </c>
      <c r="C27" s="84" t="inlineStr">
        <is>
          <t>化工材料</t>
        </is>
      </c>
      <c r="D27" s="84" t="inlineStr">
        <is>
          <t>万华化学集团股份有限公司</t>
        </is>
      </c>
      <c r="E27" s="84" t="inlineStr">
        <is>
          <t>MDI产能全球第一</t>
        </is>
      </c>
      <c r="F27" s="84" t="inlineStr">
        <is>
          <t>-</t>
        </is>
      </c>
      <c r="G27" s="84" t="inlineStr">
        <is>
          <t>全球最大MDI生产商</t>
        </is>
      </c>
    </row>
    <row r="28" ht="20" customHeight="1">
      <c r="A28" s="83" t="inlineStr">
        <is>
          <t>山东省</t>
        </is>
      </c>
      <c r="B28" s="83" t="inlineStr">
        <is>
          <t>华东地区</t>
        </is>
      </c>
      <c r="C28" s="83" t="inlineStr">
        <is>
          <t>化工材料</t>
        </is>
      </c>
      <c r="D28" s="83" t="inlineStr">
        <is>
          <t>山东化工企业</t>
        </is>
      </c>
      <c r="E28" s="83" t="inlineStr">
        <is>
          <t>烧碱、纯碱产能国内前列</t>
        </is>
      </c>
      <c r="F28" s="83" t="inlineStr">
        <is>
          <t>-</t>
        </is>
      </c>
      <c r="G28" s="83" t="inlineStr">
        <is>
          <t>化工大省</t>
        </is>
      </c>
    </row>
    <row r="29" ht="20" customHeight="1">
      <c r="A29" s="84" t="inlineStr">
        <is>
          <t>辽宁省</t>
        </is>
      </c>
      <c r="B29" s="84" t="inlineStr">
        <is>
          <t>东北地区</t>
        </is>
      </c>
      <c r="C29" s="84" t="inlineStr">
        <is>
          <t>钢铁行业</t>
        </is>
      </c>
      <c r="D29" s="84" t="inlineStr">
        <is>
          <t>鞍钢集团有限公司</t>
        </is>
      </c>
      <c r="E29" s="84" t="inlineStr">
        <is>
          <t>&gt;6000万吨/年</t>
        </is>
      </c>
      <c r="F29" s="84" t="inlineStr">
        <is>
          <t>580-620 kgce/t</t>
        </is>
      </c>
      <c r="G29" s="84" t="inlineStr">
        <is>
          <t>全国第二，全球第三</t>
        </is>
      </c>
    </row>
    <row r="30" ht="20" customHeight="1">
      <c r="A30" s="83" t="inlineStr">
        <is>
          <t>辽宁省</t>
        </is>
      </c>
      <c r="B30" s="83" t="inlineStr">
        <is>
          <t>东北地区</t>
        </is>
      </c>
      <c r="C30" s="83" t="inlineStr">
        <is>
          <t>钢铁行业</t>
        </is>
      </c>
      <c r="D30" s="83" t="inlineStr">
        <is>
          <t>本钢集团有限公司</t>
        </is>
      </c>
      <c r="E30" s="83" t="inlineStr">
        <is>
          <t>~2000万吨/年</t>
        </is>
      </c>
      <c r="F30" s="83" t="inlineStr">
        <is>
          <t>-</t>
        </is>
      </c>
      <c r="G30" s="83" t="inlineStr">
        <is>
          <t>辽宁省最大国有钢铁企业</t>
        </is>
      </c>
    </row>
    <row r="31" ht="20" customHeight="1">
      <c r="A31" s="84" t="inlineStr">
        <is>
          <t>辽宁省</t>
        </is>
      </c>
      <c r="B31" s="84" t="inlineStr">
        <is>
          <t>东北地区</t>
        </is>
      </c>
      <c r="C31" s="84" t="inlineStr">
        <is>
          <t>石化行业</t>
        </is>
      </c>
      <c r="D31" s="84" t="inlineStr">
        <is>
          <t>恒力石化（大连）有限公司</t>
        </is>
      </c>
      <c r="E31" s="84" t="inlineStr">
        <is>
          <t>炼油2000万吨/年，乙烯~150万吨/年</t>
        </is>
      </c>
      <c r="F31" s="84" t="inlineStr">
        <is>
          <t>-</t>
        </is>
      </c>
      <c r="G31" s="84" t="inlineStr">
        <is>
          <t>民营炼化龙头</t>
        </is>
      </c>
    </row>
    <row r="32" ht="20" customHeight="1">
      <c r="A32" s="83" t="inlineStr">
        <is>
          <t>辽宁省</t>
        </is>
      </c>
      <c r="B32" s="83" t="inlineStr">
        <is>
          <t>东北地区</t>
        </is>
      </c>
      <c r="C32" s="83" t="inlineStr">
        <is>
          <t>石化行业</t>
        </is>
      </c>
      <c r="D32" s="83" t="inlineStr">
        <is>
          <t>中国石油天然气股份有限公司大连石化分公司</t>
        </is>
      </c>
      <c r="E32" s="83" t="inlineStr">
        <is>
          <t>炼油2050万吨/年</t>
        </is>
      </c>
      <c r="F32" s="83" t="inlineStr">
        <is>
          <t>-</t>
        </is>
      </c>
      <c r="G32" s="83" t="inlineStr">
        <is>
          <t>中石油最大炼化之一</t>
        </is>
      </c>
    </row>
    <row r="33" ht="20" customHeight="1">
      <c r="A33" s="84" t="inlineStr">
        <is>
          <t>辽宁省</t>
        </is>
      </c>
      <c r="B33" s="84" t="inlineStr">
        <is>
          <t>东北地区</t>
        </is>
      </c>
      <c r="C33" s="84" t="inlineStr">
        <is>
          <t>装备制造</t>
        </is>
      </c>
      <c r="D33" s="84" t="inlineStr">
        <is>
          <t>沈阳鼓风机集团股份有限公司</t>
        </is>
      </c>
      <c r="E33" s="84" t="inlineStr">
        <is>
          <t>透平压缩机、鼓风机</t>
        </is>
      </c>
      <c r="F33" s="84" t="inlineStr">
        <is>
          <t>-</t>
        </is>
      </c>
      <c r="G33" s="84" t="inlineStr">
        <is>
          <t>中国最大通用机械装备制造企业</t>
        </is>
      </c>
    </row>
    <row r="34" ht="20" customHeight="1">
      <c r="A34" s="83" t="inlineStr">
        <is>
          <t>辽宁省</t>
        </is>
      </c>
      <c r="B34" s="83" t="inlineStr">
        <is>
          <t>东北地区</t>
        </is>
      </c>
      <c r="C34" s="83" t="inlineStr">
        <is>
          <t>装备制造</t>
        </is>
      </c>
      <c r="D34" s="83" t="inlineStr">
        <is>
          <t>大连重工起重集团有限公司</t>
        </is>
      </c>
      <c r="E34" s="83" t="inlineStr">
        <is>
          <t>风电设备、起重机械</t>
        </is>
      </c>
      <c r="F34" s="83" t="inlineStr">
        <is>
          <t>-</t>
        </is>
      </c>
      <c r="G34" s="83" t="inlineStr">
        <is>
          <t>国内重大装备制造骨干企业</t>
        </is>
      </c>
    </row>
    <row r="35" ht="20" customHeight="1">
      <c r="A35" s="84" t="inlineStr">
        <is>
          <t>河南省</t>
        </is>
      </c>
      <c r="B35" s="84" t="inlineStr">
        <is>
          <t>华中地区</t>
        </is>
      </c>
      <c r="C35" s="84" t="inlineStr">
        <is>
          <t>钢铁行业</t>
        </is>
      </c>
      <c r="D35" s="84" t="inlineStr">
        <is>
          <t>安阳钢铁集团有限责任公司</t>
        </is>
      </c>
      <c r="E35" s="84" t="inlineStr">
        <is>
          <t>~500万吨/年</t>
        </is>
      </c>
      <c r="F35" s="84" t="inlineStr">
        <is>
          <t>-</t>
        </is>
      </c>
      <c r="G35" s="84" t="inlineStr">
        <is>
          <t>河南省最大钢铁企业</t>
        </is>
      </c>
    </row>
    <row r="36" ht="20" customHeight="1">
      <c r="A36" s="83" t="inlineStr">
        <is>
          <t>河南省</t>
        </is>
      </c>
      <c r="B36" s="83" t="inlineStr">
        <is>
          <t>华中地区</t>
        </is>
      </c>
      <c r="C36" s="83" t="inlineStr">
        <is>
          <t>水泥行业</t>
        </is>
      </c>
      <c r="D36" s="83" t="inlineStr">
        <is>
          <t>天瑞水泥集团有限公司</t>
        </is>
      </c>
      <c r="E36" s="83" t="inlineStr">
        <is>
          <t>水泥产能&gt;5000万吨/年</t>
        </is>
      </c>
      <c r="F36" s="83" t="inlineStr">
        <is>
          <t>-</t>
        </is>
      </c>
      <c r="G36" s="83" t="inlineStr">
        <is>
          <t>河南省最大水泥企业</t>
        </is>
      </c>
    </row>
    <row r="37" ht="20" customHeight="1">
      <c r="A37" s="84" t="inlineStr">
        <is>
          <t>河南省</t>
        </is>
      </c>
      <c r="B37" s="84" t="inlineStr">
        <is>
          <t>华中地区</t>
        </is>
      </c>
      <c r="C37" s="84" t="inlineStr">
        <is>
          <t>电解铝</t>
        </is>
      </c>
      <c r="D37" s="84" t="inlineStr">
        <is>
          <t>河南中孚实业股份有限公司</t>
        </is>
      </c>
      <c r="E37" s="84" t="inlineStr">
        <is>
          <t>~50万吨/年</t>
        </is>
      </c>
      <c r="F37" s="84" t="inlineStr">
        <is>
          <t>-</t>
        </is>
      </c>
      <c r="G37" s="84" t="inlineStr">
        <is>
          <t>铝加工一体化</t>
        </is>
      </c>
    </row>
    <row r="38" ht="20" customHeight="1">
      <c r="A38" s="83" t="inlineStr">
        <is>
          <t>河南省</t>
        </is>
      </c>
      <c r="B38" s="83" t="inlineStr">
        <is>
          <t>华中地区</t>
        </is>
      </c>
      <c r="C38" s="83" t="inlineStr">
        <is>
          <t>电解铝</t>
        </is>
      </c>
      <c r="D38" s="83" t="inlineStr">
        <is>
          <t>焦作万方铝业股份有限公司</t>
        </is>
      </c>
      <c r="E38" s="83" t="inlineStr">
        <is>
          <t>~50万吨/年</t>
        </is>
      </c>
      <c r="F38" s="83" t="inlineStr">
        <is>
          <t>-</t>
        </is>
      </c>
      <c r="G38" s="83" t="inlineStr">
        <is>
          <t>河南省重要铝企</t>
        </is>
      </c>
    </row>
    <row r="39" ht="20" customHeight="1">
      <c r="A39" s="84" t="inlineStr">
        <is>
          <t>河南省</t>
        </is>
      </c>
      <c r="B39" s="84" t="inlineStr">
        <is>
          <t>华中地区</t>
        </is>
      </c>
      <c r="C39" s="84" t="inlineStr">
        <is>
          <t>化工行业</t>
        </is>
      </c>
      <c r="D39" s="84" t="inlineStr">
        <is>
          <t>河南能源化工集团有限公司</t>
        </is>
      </c>
      <c r="E39" s="84" t="inlineStr">
        <is>
          <t>煤炭产能&gt;5000万吨/年，合成氨&gt;500万吨/年</t>
        </is>
      </c>
      <c r="F39" s="84" t="inlineStr">
        <is>
          <t>-</t>
        </is>
      </c>
      <c r="G39" s="84" t="inlineStr">
        <is>
          <t>河南省最大化工企业</t>
        </is>
      </c>
    </row>
    <row r="40" ht="20" customHeight="1">
      <c r="A40" s="83" t="inlineStr">
        <is>
          <t>河北省</t>
        </is>
      </c>
      <c r="B40" s="83" t="inlineStr">
        <is>
          <t>华北地区</t>
        </is>
      </c>
      <c r="C40" s="83" t="inlineStr">
        <is>
          <t>钢铁行业</t>
        </is>
      </c>
      <c r="D40" s="83" t="inlineStr">
        <is>
          <t>河北钢铁集团有限公司</t>
        </is>
      </c>
      <c r="E40" s="83" t="inlineStr">
        <is>
          <t>&gt;5000万吨/年</t>
        </is>
      </c>
      <c r="F40" s="83" t="inlineStr">
        <is>
          <t>吨钢综合能耗约580 kgce/t</t>
        </is>
      </c>
      <c r="G40" s="83" t="inlineStr">
        <is>
          <t>省属国有企业，产量占全国20%以上</t>
        </is>
      </c>
    </row>
    <row r="41" ht="20" customHeight="1">
      <c r="A41" s="84" t="inlineStr">
        <is>
          <t>河北省</t>
        </is>
      </c>
      <c r="B41" s="84" t="inlineStr">
        <is>
          <t>华北地区</t>
        </is>
      </c>
      <c r="C41" s="84" t="inlineStr">
        <is>
          <t>钢铁行业</t>
        </is>
      </c>
      <c r="D41" s="84" t="inlineStr">
        <is>
          <t>首钢京唐钢铁联合有限责任公司</t>
        </is>
      </c>
      <c r="E41" s="84" t="inlineStr">
        <is>
          <t>&gt;2000万吨/年</t>
        </is>
      </c>
      <c r="F41" s="84" t="inlineStr">
        <is>
          <t>-</t>
        </is>
      </c>
      <c r="G41" s="84" t="inlineStr">
        <is>
          <t>临港产业布局，碳管理体系试点</t>
        </is>
      </c>
    </row>
    <row r="42" ht="20" customHeight="1">
      <c r="A42" s="83" t="inlineStr">
        <is>
          <t>重庆市</t>
        </is>
      </c>
      <c r="B42" s="83" t="inlineStr">
        <is>
          <t>西南地区</t>
        </is>
      </c>
      <c r="C42" s="83" t="inlineStr">
        <is>
          <t>钢铁行业</t>
        </is>
      </c>
      <c r="D42" s="83" t="inlineStr">
        <is>
          <t>重庆钢铁股份有限公司</t>
        </is>
      </c>
      <c r="E42" s="83" t="inlineStr">
        <is>
          <t>约600万吨/年</t>
        </is>
      </c>
      <c r="F42" s="83" t="inlineStr">
        <is>
          <t>-</t>
        </is>
      </c>
      <c r="G42" s="83" t="inlineStr">
        <is>
          <t>A股上市，重钢集团核心企业</t>
        </is>
      </c>
    </row>
    <row r="43" ht="20" customHeight="1">
      <c r="A43" s="84" t="inlineStr">
        <is>
          <t>重庆市</t>
        </is>
      </c>
      <c r="B43" s="84" t="inlineStr">
        <is>
          <t>西南地区</t>
        </is>
      </c>
      <c r="C43" s="84" t="inlineStr">
        <is>
          <t>水泥行业</t>
        </is>
      </c>
      <c r="D43" s="84" t="inlineStr">
        <is>
          <t>重庆海螺水泥有限责任公司</t>
        </is>
      </c>
      <c r="E43" s="84" t="inlineStr">
        <is>
          <t>大型规模</t>
        </is>
      </c>
      <c r="F43" s="84" t="inlineStr">
        <is>
          <t>-</t>
        </is>
      </c>
      <c r="G43" s="84" t="inlineStr">
        <is>
          <t>海螺水泥全国最大水泥集团</t>
        </is>
      </c>
    </row>
    <row r="44" ht="20" customHeight="1">
      <c r="A44" s="83" t="inlineStr">
        <is>
          <t>重庆市</t>
        </is>
      </c>
      <c r="B44" s="83" t="inlineStr">
        <is>
          <t>西南地区</t>
        </is>
      </c>
      <c r="C44" s="83" t="inlineStr">
        <is>
          <t>水泥行业</t>
        </is>
      </c>
      <c r="D44" s="83" t="inlineStr">
        <is>
          <t>华新水泥重庆涪陵有限公司</t>
        </is>
      </c>
      <c r="E44" s="83" t="inlineStr">
        <is>
          <t>大型规模</t>
        </is>
      </c>
      <c r="F44" s="83" t="inlineStr">
        <is>
          <t>-</t>
        </is>
      </c>
      <c r="G44" s="83" t="inlineStr">
        <is>
          <t>华新水泥上市公司</t>
        </is>
      </c>
    </row>
    <row r="45" ht="20" customHeight="1">
      <c r="A45" s="84" t="inlineStr">
        <is>
          <t>重庆市</t>
        </is>
      </c>
      <c r="B45" s="84" t="inlineStr">
        <is>
          <t>西南地区</t>
        </is>
      </c>
      <c r="C45" s="84" t="inlineStr">
        <is>
          <t>水泥行业</t>
        </is>
      </c>
      <c r="D45" s="84" t="inlineStr">
        <is>
          <t>东方希望重庆水泥有限公司</t>
        </is>
      </c>
      <c r="E45" s="84" t="inlineStr">
        <is>
          <t>大型规模</t>
        </is>
      </c>
      <c r="F45" s="84" t="inlineStr">
        <is>
          <t>-</t>
        </is>
      </c>
      <c r="G45" s="84" t="inlineStr">
        <is>
          <t>东方希望集团旗下</t>
        </is>
      </c>
    </row>
    <row r="46" ht="20" customHeight="1">
      <c r="A46" s="83" t="inlineStr">
        <is>
          <t>重庆市</t>
        </is>
      </c>
      <c r="B46" s="83" t="inlineStr">
        <is>
          <t>西南地区</t>
        </is>
      </c>
      <c r="C46" s="83" t="inlineStr">
        <is>
          <t>铝冶炼</t>
        </is>
      </c>
      <c r="D46" s="83" t="inlineStr">
        <is>
          <t>重庆旗能电铝有限公司</t>
        </is>
      </c>
      <c r="E46" s="83" t="inlineStr">
        <is>
          <t>电解铝30万吨/年</t>
        </is>
      </c>
      <c r="F46" s="83" t="inlineStr">
        <is>
          <t>-</t>
        </is>
      </c>
      <c r="G46" s="83" t="inlineStr">
        <is>
          <t>碳管理体系试点，储能潜在客户</t>
        </is>
      </c>
    </row>
    <row r="47" ht="20" customHeight="1">
      <c r="A47" s="84" t="inlineStr">
        <is>
          <t>重庆市</t>
        </is>
      </c>
      <c r="B47" s="84" t="inlineStr">
        <is>
          <t>西南地区</t>
        </is>
      </c>
      <c r="C47" s="84" t="inlineStr">
        <is>
          <t>铝冶炼</t>
        </is>
      </c>
      <c r="D47" s="84" t="inlineStr">
        <is>
          <t>重庆天泰铝业股份有限公司</t>
        </is>
      </c>
      <c r="E47" s="84" t="inlineStr">
        <is>
          <t>电解铝</t>
        </is>
      </c>
      <c r="F47" s="84" t="inlineStr">
        <is>
          <t>-</t>
        </is>
      </c>
      <c r="G47" s="84" t="inlineStr">
        <is>
          <t>电解铝企业</t>
        </is>
      </c>
    </row>
    <row r="48" ht="20" customHeight="1">
      <c r="A48" s="83" t="inlineStr">
        <is>
          <t>重庆市</t>
        </is>
      </c>
      <c r="B48" s="83" t="inlineStr">
        <is>
          <t>西南地区</t>
        </is>
      </c>
      <c r="C48" s="83" t="inlineStr">
        <is>
          <t>铝冶炼</t>
        </is>
      </c>
      <c r="D48" s="83" t="inlineStr">
        <is>
          <t>重庆国丰实业有限公司</t>
        </is>
      </c>
      <c r="E48" s="83" t="inlineStr">
        <is>
          <t>电解铝</t>
        </is>
      </c>
      <c r="F48" s="83" t="inlineStr">
        <is>
          <t>-</t>
        </is>
      </c>
      <c r="G48" s="83" t="inlineStr">
        <is>
          <t>电解铝企业</t>
        </is>
      </c>
    </row>
    <row r="49" ht="20" customHeight="1"/>
  </sheetData>
  <mergeCells count="11">
    <mergeCell ref="E5:G7"/>
    <mergeCell ref="A1:G1"/>
    <mergeCell ref="A17:G17"/>
    <mergeCell ref="E11:G11"/>
    <mergeCell ref="A1:G2"/>
    <mergeCell ref="A9:G9"/>
    <mergeCell ref="A3:G3"/>
    <mergeCell ref="A6:G6"/>
    <mergeCell ref="E4:G4"/>
    <mergeCell ref="E12:G14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2026-03-29T06:36:00Z</dcterms:created>
  <dcterms:modified xmlns:dcterms="http://purl.org/dc/terms/" xmlns:xsi="http://www.w3.org/2001/XMLSchema-instance" xsi:type="dcterms:W3CDTF">2026-03-29T09:53:29Z</dcterms:modified>
  <cp:lastModifiedBy>zhaor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C48AB9BDE1784DF08CD5F5BB35B3A120_13</vt:lpwstr>
  </property>
  <property name="KSOProductBuildVer" fmtid="{D5CDD505-2E9C-101B-9397-08002B2CF9AE}" pid="3">
    <vt:lpwstr xmlns:vt="http://schemas.openxmlformats.org/officeDocument/2006/docPropsVTypes">2052-12.1.0.25222</vt:lpwstr>
  </property>
  <property name="CalculationRule" fmtid="{D5CDD505-2E9C-101B-9397-08002B2CF9AE}" pid="4">
    <vt:i4 xmlns:vt="http://schemas.openxmlformats.org/officeDocument/2006/docPropsVTypes">0</vt:i4>
  </property>
</Properties>
</file>