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摘要" sheetId="1" state="visible" r:id="rId1"/>
    <sheet xmlns:r="http://schemas.openxmlformats.org/officeDocument/2006/relationships" name="现金流明细" sheetId="2" state="visible" r:id="rId2"/>
    <sheet xmlns:r="http://schemas.openxmlformats.org/officeDocument/2006/relationships" name="投资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年&quot;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b val="1"/>
      <color rgb="001a3a6c"/>
      <sz val="12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2e7d32"/>
      <sz val="10"/>
    </font>
    <font>
      <name val="Microsoft YaHei"/>
      <b val="1"/>
      <color rgb="00e65100"/>
      <sz val="10"/>
    </font>
    <font>
      <name val="Microsoft YaHei"/>
      <b val="1"/>
      <color rgb="00c62828"/>
      <sz val="10"/>
    </font>
    <font>
      <b val="1"/>
    </font>
    <font>
      <color rgb="00c62828"/>
    </font>
  </fonts>
  <fills count="8">
    <fill>
      <patternFill/>
    </fill>
    <fill>
      <patternFill patternType="gray125"/>
    </fill>
    <fill>
      <patternFill patternType="solid">
        <fgColor rgb="001a3a6c"/>
        <bgColor rgb="001a3a6c"/>
      </patternFill>
    </fill>
    <fill>
      <patternFill patternType="solid">
        <fgColor rgb="00e8f4f8"/>
        <bgColor rgb="00e8f4f8"/>
      </patternFill>
    </fill>
    <fill>
      <patternFill patternType="solid">
        <fgColor rgb="002c5282"/>
        <bgColor rgb="002c5282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/>
  </borders>
  <cellStyleXfs count="10">
    <xf numFmtId="0" fontId="0" fillId="0" borderId="0"/>
    <xf numFmtId="0" fontId="1" fillId="2" borderId="1" applyAlignment="1">
      <alignment horizontal="center" vertical="center"/>
    </xf>
    <xf numFmtId="0" fontId="2" fillId="3" borderId="1" applyAlignment="1">
      <alignment horizontal="left" vertical="center"/>
    </xf>
    <xf numFmtId="0" fontId="3" fillId="4" borderId="1" applyAlignment="1">
      <alignment horizontal="center" vertical="center"/>
    </xf>
    <xf numFmtId="0" fontId="4" fillId="0" borderId="1" applyAlignment="1">
      <alignment horizontal="right" vertical="center"/>
    </xf>
    <xf numFmtId="4" fontId="4" fillId="0" borderId="1" applyAlignment="1">
      <alignment horizontal="right" vertical="center"/>
    </xf>
    <xf numFmtId="10" fontId="4" fillId="0" borderId="1" applyAlignment="1">
      <alignment horizontal="right" vertical="center"/>
    </xf>
    <xf numFmtId="0" fontId="5" fillId="5" borderId="1"/>
    <xf numFmtId="0" fontId="6" fillId="6" borderId="1"/>
    <xf numFmtId="0" fontId="7" fillId="7" borderId="1"/>
  </cellStyleXfs>
  <cellXfs count="15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left" vertical="center"/>
    </xf>
    <xf numFmtId="0" fontId="8" fillId="0" borderId="0" pivotButton="0" quotePrefix="0" xfId="0"/>
    <xf numFmtId="0" fontId="3" fillId="4" borderId="1" applyAlignment="1" pivotButton="0" quotePrefix="0" xfId="3">
      <alignment horizontal="center" vertical="center"/>
    </xf>
    <xf numFmtId="4" fontId="0" fillId="0" borderId="0" pivotButton="0" quotePrefix="0" xfId="0"/>
    <xf numFmtId="0" fontId="7" fillId="7" borderId="1" pivotButton="0" quotePrefix="0" xfId="9"/>
    <xf numFmtId="1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4" fontId="9" fillId="0" borderId="0" pivotButton="0" quotePrefix="0" xfId="0"/>
    <xf numFmtId="0" fontId="8" fillId="3" borderId="0" pivotButton="0" quotePrefix="0" xfId="0"/>
    <xf numFmtId="4" fontId="8" fillId="3" borderId="0" pivotButton="0" quotePrefix="0" xfId="0"/>
    <xf numFmtId="10" fontId="8" fillId="3" borderId="0" pivotButton="0" quotePrefix="0" xfId="0"/>
  </cellXfs>
  <cellStyles count="10">
    <cellStyle name="Normal" xfId="0" builtinId="0" hidden="0"/>
    <cellStyle name="title_style" xfId="1" hidden="0"/>
    <cellStyle name="subtitle_style" xfId="2" hidden="0"/>
    <cellStyle name="header_style" xfId="3" hidden="0"/>
    <cellStyle name="data_style" xfId="4" hidden="0"/>
    <cellStyle name="currency_style" xfId="5" hidden="0"/>
    <cellStyle name="percent_style" xfId="6" hidden="0"/>
    <cellStyle name="good_style" xfId="7" hidden="0"/>
    <cellStyle name="warning_style" xfId="8" hidden="0"/>
    <cellStyle name="danger_style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投资构成</a:t>
            </a:r>
          </a:p>
        </rich>
      </tx>
    </title>
    <plotArea>
      <pieChart>
        <varyColors val="1"/>
        <ser>
          <idx val="0"/>
          <order val="0"/>
          <tx>
            <strRef>
              <f>'财务摘要'!B16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'财务摘要'!$A$17:$A$22</f>
            </numRef>
          </cat>
          <val>
            <numRef>
              <f>'财务摘要'!$B$17:$B$22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现金流趋势</a:t>
            </a:r>
          </a:p>
        </rich>
      </tx>
    </title>
    <plotArea>
      <lineChart>
        <grouping val="standard"/>
        <ser>
          <idx val="0"/>
          <order val="0"/>
          <tx>
            <strRef>
              <f>'现金流明细'!H3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'现金流明细'!$A$4:$A$18</f>
            </numRef>
          </cat>
          <val>
            <numRef>
              <f>'现金流明细'!$H$4:$H$18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金额(万元)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 ht="35" customHeight="1">
      <c r="A1" s="1" t="inlineStr">
        <is>
          <t>项目投资财务分析报告</t>
        </is>
      </c>
    </row>
    <row r="3">
      <c r="A3" s="2" t="inlineStr">
        <is>
          <t>项目基本信息</t>
        </is>
      </c>
    </row>
    <row r="4">
      <c r="A4" s="3" t="inlineStr">
        <is>
          <t>项目名称</t>
        </is>
      </c>
      <c r="B4" t="inlineStr">
        <is>
          <t>100MWh储能电站项目</t>
        </is>
      </c>
      <c r="C4" t="inlineStr"/>
      <c r="D4" s="3" t="inlineStr">
        <is>
          <t>项目类型</t>
        </is>
      </c>
      <c r="E4" t="inlineStr">
        <is>
          <t>电化学储能</t>
        </is>
      </c>
      <c r="F4" t="inlineStr"/>
    </row>
    <row r="5">
      <c r="A5" s="3" t="inlineStr">
        <is>
          <t>运营期</t>
        </is>
      </c>
      <c r="B5" t="inlineStr">
        <is>
          <t>15年</t>
        </is>
      </c>
      <c r="C5" t="inlineStr"/>
      <c r="D5" s="3" t="inlineStr">
        <is>
          <t>企业类型</t>
        </is>
      </c>
      <c r="E5" t="inlineStr">
        <is>
          <t>高新技术企业</t>
        </is>
      </c>
      <c r="F5" t="inlineStr"/>
    </row>
    <row r="6">
      <c r="A6" s="3" t="inlineStr">
        <is>
          <t>分析日期</t>
        </is>
      </c>
      <c r="B6" t="inlineStr">
        <is>
          <t>2026-03-07</t>
        </is>
      </c>
      <c r="C6" t="inlineStr"/>
      <c r="D6" s="3" t="inlineStr">
        <is>
          <t>所在地区</t>
        </is>
      </c>
      <c r="E6" t="inlineStr">
        <is>
          <t>市区</t>
        </is>
      </c>
      <c r="F6" t="inlineStr"/>
    </row>
    <row r="8">
      <c r="A8" s="2" t="inlineStr">
        <is>
          <t>核心财务指标</t>
        </is>
      </c>
    </row>
    <row r="9">
      <c r="A9" s="4" t="inlineStr">
        <is>
          <t>指标</t>
        </is>
      </c>
      <c r="B9" s="4" t="inlineStr">
        <is>
          <t>数值</t>
        </is>
      </c>
      <c r="C9" s="4" t="inlineStr">
        <is>
          <t>判断</t>
        </is>
      </c>
      <c r="D9" s="4" t="inlineStr">
        <is>
          <t>指标</t>
        </is>
      </c>
      <c r="E9" s="4" t="inlineStr">
        <is>
          <t>数值</t>
        </is>
      </c>
      <c r="F9" s="4" t="inlineStr">
        <is>
          <t>判断</t>
        </is>
      </c>
    </row>
    <row r="10">
      <c r="A10" t="inlineStr">
        <is>
          <t>净现值(NPV)</t>
        </is>
      </c>
      <c r="B10" s="5" t="n">
        <v>-60244937.44964774</v>
      </c>
      <c r="C10" s="6" t="inlineStr">
        <is>
          <t>✗ 不可行</t>
        </is>
      </c>
      <c r="D10" t="inlineStr">
        <is>
          <t>内部收益率(IRR)</t>
        </is>
      </c>
      <c r="E10" s="7" t="n">
        <v>0</v>
      </c>
      <c r="F10" t="inlineStr">
        <is>
          <t>✗ 较差</t>
        </is>
      </c>
    </row>
    <row r="11">
      <c r="A11" t="inlineStr">
        <is>
          <t>静态回收期</t>
        </is>
      </c>
      <c r="B11" s="8" t="n">
        <v/>
      </c>
      <c r="C11" s="6" t="inlineStr">
        <is>
          <t>✗ 较长</t>
        </is>
      </c>
      <c r="D11" t="inlineStr">
        <is>
          <t>动态回收期</t>
        </is>
      </c>
      <c r="E11" s="8" t="n">
        <v/>
      </c>
      <c r="F11" t="inlineStr">
        <is>
          <t>✗ 较长</t>
        </is>
      </c>
    </row>
    <row r="12">
      <c r="A12" t="inlineStr">
        <is>
          <t>投资利润率(ROI)</t>
        </is>
      </c>
      <c r="B12" s="7" t="n">
        <v>0.4782592593115411</v>
      </c>
      <c r="C12" t="inlineStr"/>
      <c r="D12" t="inlineStr">
        <is>
          <t>资本金利润率(ROE)</t>
        </is>
      </c>
      <c r="E12" s="7" t="n">
        <v>1.59419753103847</v>
      </c>
      <c r="F12" t="inlineStr"/>
    </row>
    <row r="15">
      <c r="A15" s="2" t="inlineStr">
        <is>
          <t>投资构成分析</t>
        </is>
      </c>
    </row>
    <row r="16">
      <c r="A16" s="4" t="inlineStr">
        <is>
          <t>投资项</t>
        </is>
      </c>
      <c r="B16" s="4" t="inlineStr">
        <is>
          <t>金额(万元)</t>
        </is>
      </c>
    </row>
    <row r="17">
      <c r="A17" t="inlineStr">
        <is>
          <t>土地购置</t>
        </is>
      </c>
      <c r="B17" s="5" t="n">
        <v>800</v>
      </c>
    </row>
    <row r="18">
      <c r="A18" t="inlineStr">
        <is>
          <t>建设工程</t>
        </is>
      </c>
      <c r="B18" s="5" t="n">
        <v>2500</v>
      </c>
    </row>
    <row r="19">
      <c r="A19" t="inlineStr">
        <is>
          <t>设备购置</t>
        </is>
      </c>
      <c r="B19" s="5" t="n">
        <v>4500</v>
      </c>
    </row>
    <row r="20">
      <c r="A20" t="inlineStr">
        <is>
          <t>安装工程</t>
        </is>
      </c>
      <c r="B20" s="5" t="n">
        <v>800</v>
      </c>
    </row>
    <row r="21">
      <c r="A21" t="inlineStr">
        <is>
          <t>其他费用</t>
        </is>
      </c>
      <c r="B21" s="5" t="n">
        <v>400</v>
      </c>
    </row>
    <row r="22">
      <c r="A22" t="inlineStr">
        <is>
          <t>流动资金</t>
        </is>
      </c>
      <c r="B22" s="5" t="n">
        <v>300</v>
      </c>
    </row>
    <row r="25">
      <c r="A25" s="2" t="inlineStr">
        <is>
          <t>分析结论</t>
        </is>
      </c>
    </row>
    <row r="26" ht="80" customHeight="1">
      <c r="A26" s="9" t="inlineStr">
        <is>
          <t>✗ 项目净现值NPV为¥-6024.49万元，小于0，项目财务上不可行。
⚠ 内部收益率IRR为0.00%，低于折现率8%，投资回报一般。
• 静态回收期inf年，动态回收期inf年。
• 投资利润率ROI为47.83%，资本金利润率ROE为159.42%。
【综合建议】该项目财务指标不佳，建议重新评估或放弃投资。</t>
        </is>
      </c>
    </row>
    <row r="27"/>
    <row r="28"/>
    <row r="29"/>
    <row r="30"/>
  </sheetData>
  <mergeCells count="6">
    <mergeCell ref="A1:F1"/>
    <mergeCell ref="A26:F30"/>
    <mergeCell ref="A8:F8"/>
    <mergeCell ref="A15:D15"/>
    <mergeCell ref="A3:F3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项目现金流明细表</t>
        </is>
      </c>
    </row>
    <row r="3">
      <c r="A3" s="4" t="inlineStr">
        <is>
          <t>年份</t>
        </is>
      </c>
      <c r="B3" s="4" t="inlineStr">
        <is>
          <t>营业收入</t>
        </is>
      </c>
      <c r="C3" s="4" t="inlineStr">
        <is>
          <t>营业成本</t>
        </is>
      </c>
      <c r="D3" s="4" t="inlineStr">
        <is>
          <t>折旧</t>
        </is>
      </c>
      <c r="E3" s="4" t="inlineStr">
        <is>
          <t>利息</t>
        </is>
      </c>
      <c r="F3" s="4" t="inlineStr">
        <is>
          <t>所得税</t>
        </is>
      </c>
      <c r="G3" s="4" t="inlineStr">
        <is>
          <t>净利润</t>
        </is>
      </c>
      <c r="H3" s="4" t="inlineStr">
        <is>
          <t>现金流</t>
        </is>
      </c>
      <c r="I3" s="4" t="inlineStr">
        <is>
          <t>累计现金流</t>
        </is>
      </c>
    </row>
    <row r="4">
      <c r="A4" s="10" t="n">
        <v>1</v>
      </c>
      <c r="B4" s="5" t="n">
        <v>1580</v>
      </c>
      <c r="C4" s="5" t="n">
        <v>480</v>
      </c>
      <c r="D4" s="5" t="n">
        <v>570</v>
      </c>
      <c r="E4" s="5" t="n">
        <v>276.675</v>
      </c>
      <c r="F4" s="5" t="n">
        <v>37.99875</v>
      </c>
      <c r="G4" s="5" t="n">
        <v>215.32625</v>
      </c>
      <c r="H4" s="5" t="n">
        <v>249.35715745995</v>
      </c>
      <c r="I4" s="11" t="n">
        <v>-9050.64284254005</v>
      </c>
    </row>
    <row r="5">
      <c r="A5" s="10" t="n">
        <v>2</v>
      </c>
      <c r="B5" s="5" t="n">
        <v>1580</v>
      </c>
      <c r="C5" s="5" t="n">
        <v>489.6</v>
      </c>
      <c r="D5" s="5" t="n">
        <v>570</v>
      </c>
      <c r="E5" s="5" t="n">
        <v>253.8963135670479</v>
      </c>
      <c r="F5" s="5" t="n">
        <v>39.97555296494282</v>
      </c>
      <c r="G5" s="5" t="n">
        <v>226.5281334680093</v>
      </c>
      <c r="H5" s="5" t="n">
        <v>237.7803544950072</v>
      </c>
      <c r="I5" s="11" t="n">
        <v>-8812.862488045042</v>
      </c>
    </row>
    <row r="6">
      <c r="A6" s="10" t="n">
        <v>3</v>
      </c>
      <c r="B6" s="5" t="n">
        <v>1580</v>
      </c>
      <c r="C6" s="5" t="n">
        <v>499.392</v>
      </c>
      <c r="D6" s="5" t="n">
        <v>570</v>
      </c>
      <c r="E6" s="5" t="n">
        <v>230.1495329606953</v>
      </c>
      <c r="F6" s="5" t="n">
        <v>42.06877005589571</v>
      </c>
      <c r="G6" s="5" t="n">
        <v>238.389696983409</v>
      </c>
      <c r="H6" s="5" t="n">
        <v>225.8951374040543</v>
      </c>
      <c r="I6" s="11" t="n">
        <v>-8586.967350640989</v>
      </c>
    </row>
    <row r="7">
      <c r="A7" s="10" t="n">
        <v>4</v>
      </c>
      <c r="B7" s="5" t="n">
        <v>1580</v>
      </c>
      <c r="C7" s="5" t="n">
        <v>509.3798400000001</v>
      </c>
      <c r="D7" s="5" t="n">
        <v>570</v>
      </c>
      <c r="E7" s="5" t="n">
        <v>205.3935141785727</v>
      </c>
      <c r="F7" s="5" t="n">
        <v>44.28399687321409</v>
      </c>
      <c r="G7" s="5" t="n">
        <v>250.9426489482132</v>
      </c>
      <c r="H7" s="5" t="n">
        <v>213.6920705867358</v>
      </c>
      <c r="I7" s="11" t="n">
        <v>-8373.275280054251</v>
      </c>
    </row>
    <row r="8">
      <c r="A8" s="10" t="n">
        <v>5</v>
      </c>
      <c r="B8" s="5" t="n">
        <v>1580</v>
      </c>
      <c r="C8" s="5" t="n">
        <v>519.5674368</v>
      </c>
      <c r="D8" s="5" t="n">
        <v>570</v>
      </c>
      <c r="E8" s="5" t="n">
        <v>179.5853645982099</v>
      </c>
      <c r="F8" s="5" t="n">
        <v>46.6270797902685</v>
      </c>
      <c r="G8" s="5" t="n">
        <v>264.2201188115216</v>
      </c>
      <c r="H8" s="5" t="n">
        <v>201.1613908696814</v>
      </c>
      <c r="I8" s="11" t="n">
        <v>-8172.11388918457</v>
      </c>
    </row>
    <row r="9">
      <c r="A9" s="10" t="n">
        <v>6</v>
      </c>
      <c r="B9" s="5" t="n">
        <v>1580</v>
      </c>
      <c r="C9" s="5" t="n">
        <v>529.9587855360001</v>
      </c>
      <c r="D9" s="5" t="n">
        <v>570</v>
      </c>
      <c r="E9" s="5" t="n">
        <v>152.6803686606817</v>
      </c>
      <c r="F9" s="5" t="n">
        <v>49.10412687049772</v>
      </c>
      <c r="G9" s="5" t="n">
        <v>278.2567189328204</v>
      </c>
      <c r="H9" s="5" t="n">
        <v>188.2929950534522</v>
      </c>
      <c r="I9" s="11" t="n">
        <v>-7983.820894131118</v>
      </c>
    </row>
    <row r="10">
      <c r="A10" s="10" t="n">
        <v>7</v>
      </c>
      <c r="B10" s="5" t="n">
        <v>1580</v>
      </c>
      <c r="C10" s="5" t="n">
        <v>540.5579612467201</v>
      </c>
      <c r="D10" s="5" t="n">
        <v>570</v>
      </c>
      <c r="E10" s="5" t="n">
        <v>124.6319103958085</v>
      </c>
      <c r="F10" s="5" t="n">
        <v>51.72151925362073</v>
      </c>
      <c r="G10" s="5" t="n">
        <v>293.0886091038508</v>
      </c>
      <c r="H10" s="5" t="n">
        <v>175.0764269596093</v>
      </c>
      <c r="I10" s="11" t="n">
        <v>-7808.744467171508</v>
      </c>
    </row>
    <row r="11">
      <c r="A11" s="10" t="n">
        <v>8</v>
      </c>
      <c r="B11" s="5" t="n">
        <v>1580</v>
      </c>
      <c r="C11" s="5" t="n">
        <v>551.3691204716545</v>
      </c>
      <c r="D11" s="5" t="n">
        <v>570</v>
      </c>
      <c r="E11" s="5" t="n">
        <v>95.39139265467827</v>
      </c>
      <c r="F11" s="5" t="n">
        <v>54.48592303105008</v>
      </c>
      <c r="G11" s="5" t="n">
        <v>308.7535638426172</v>
      </c>
      <c r="H11" s="5" t="n">
        <v>161.5008639572455</v>
      </c>
      <c r="I11" s="11" t="n">
        <v>-7647.243603214262</v>
      </c>
    </row>
    <row r="12">
      <c r="A12" s="10" t="n">
        <v>9</v>
      </c>
      <c r="B12" s="5" t="n">
        <v>1580</v>
      </c>
      <c r="C12" s="5" t="n">
        <v>562.3965028810876</v>
      </c>
      <c r="D12" s="5" t="n">
        <v>570</v>
      </c>
      <c r="E12" s="5" t="n">
        <v>64.90815290954997</v>
      </c>
      <c r="F12" s="5" t="n">
        <v>57.40430163140437</v>
      </c>
      <c r="G12" s="5" t="n">
        <v>325.2910425779581</v>
      </c>
      <c r="H12" s="5" t="n">
        <v>147.5551029474581</v>
      </c>
      <c r="I12" s="11" t="n">
        <v>-7499.688500266804</v>
      </c>
    </row>
    <row r="13">
      <c r="A13" s="10" t="n">
        <v>10</v>
      </c>
      <c r="B13" s="5" t="n">
        <v>1580</v>
      </c>
      <c r="C13" s="5" t="n">
        <v>573.6444329387093</v>
      </c>
      <c r="D13" s="5" t="n">
        <v>570</v>
      </c>
      <c r="E13" s="5" t="n">
        <v>33.12937547525371</v>
      </c>
      <c r="F13" s="5" t="n">
        <v>60.48392873790554</v>
      </c>
      <c r="G13" s="5" t="n">
        <v>342.7422628481315</v>
      </c>
      <c r="H13" s="5" t="n">
        <v>133.2275457833351</v>
      </c>
      <c r="I13" s="11" t="n">
        <v>-7366.460954483468</v>
      </c>
    </row>
    <row r="14">
      <c r="A14" s="10" t="n">
        <v>11</v>
      </c>
      <c r="B14" s="5" t="n">
        <v>1580</v>
      </c>
      <c r="C14" s="5" t="n">
        <v>585.1173215974835</v>
      </c>
      <c r="D14" s="5" t="n">
        <v>570</v>
      </c>
      <c r="E14" s="5" t="n">
        <v>0</v>
      </c>
      <c r="F14" s="5" t="n">
        <v>63.73240176037749</v>
      </c>
      <c r="G14" s="5" t="n">
        <v>361.1502766421391</v>
      </c>
      <c r="H14" s="5" t="n">
        <v>931.150276642139</v>
      </c>
      <c r="I14" s="11" t="n">
        <v>-6435.310677841329</v>
      </c>
    </row>
    <row r="15">
      <c r="A15" s="10" t="n">
        <v>12</v>
      </c>
      <c r="B15" s="5" t="n">
        <v>1580</v>
      </c>
      <c r="C15" s="5" t="n">
        <v>596.8196680294332</v>
      </c>
      <c r="D15" s="5" t="n">
        <v>570</v>
      </c>
      <c r="E15" s="5" t="n">
        <v>0</v>
      </c>
      <c r="F15" s="5" t="n">
        <v>61.97704979558503</v>
      </c>
      <c r="G15" s="5" t="n">
        <v>351.2032821749818</v>
      </c>
      <c r="H15" s="5" t="n">
        <v>921.2032821749817</v>
      </c>
      <c r="I15" s="11" t="n">
        <v>-5514.107395666348</v>
      </c>
    </row>
    <row r="16">
      <c r="A16" s="10" t="n">
        <v>13</v>
      </c>
      <c r="B16" s="5" t="n">
        <v>1580</v>
      </c>
      <c r="C16" s="5" t="n">
        <v>608.7560613900218</v>
      </c>
      <c r="D16" s="5" t="n">
        <v>570</v>
      </c>
      <c r="E16" s="5" t="n">
        <v>0</v>
      </c>
      <c r="F16" s="5" t="n">
        <v>60.18659079149673</v>
      </c>
      <c r="G16" s="5" t="n">
        <v>341.0573478184814</v>
      </c>
      <c r="H16" s="5" t="n">
        <v>911.0573478184815</v>
      </c>
      <c r="I16" s="11" t="n">
        <v>-4603.050047847865</v>
      </c>
    </row>
    <row r="17">
      <c r="A17" s="10" t="n">
        <v>14</v>
      </c>
      <c r="B17" s="5" t="n">
        <v>1580</v>
      </c>
      <c r="C17" s="5" t="n">
        <v>620.9311826178224</v>
      </c>
      <c r="D17" s="5" t="n">
        <v>570</v>
      </c>
      <c r="E17" s="5" t="n">
        <v>0</v>
      </c>
      <c r="F17" s="5" t="n">
        <v>58.36032260732666</v>
      </c>
      <c r="G17" s="5" t="n">
        <v>330.7084947748511</v>
      </c>
      <c r="H17" s="5" t="n">
        <v>900.708494774851</v>
      </c>
      <c r="I17" s="11" t="n">
        <v>-3702.341553073014</v>
      </c>
    </row>
    <row r="18">
      <c r="A18" s="10" t="n">
        <v>15</v>
      </c>
      <c r="B18" s="5" t="n">
        <v>1580</v>
      </c>
      <c r="C18" s="5" t="n">
        <v>633.3498062701788</v>
      </c>
      <c r="D18" s="5" t="n">
        <v>570</v>
      </c>
      <c r="E18" s="5" t="n">
        <v>0</v>
      </c>
      <c r="F18" s="5" t="n">
        <v>56.49752905947318</v>
      </c>
      <c r="G18" s="5" t="n">
        <v>320.152664670348</v>
      </c>
      <c r="H18" s="5" t="n">
        <v>1640.152664670348</v>
      </c>
      <c r="I18" s="11" t="n">
        <v>-2062.188888402666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25" customWidth="1" min="4" max="4"/>
  </cols>
  <sheetData>
    <row r="1">
      <c r="A1" s="1" t="inlineStr">
        <is>
          <t>项目投资分析</t>
        </is>
      </c>
    </row>
    <row r="3">
      <c r="A3" s="2" t="inlineStr">
        <is>
          <t>投资构成明细</t>
        </is>
      </c>
    </row>
    <row r="4">
      <c r="A4" s="4" t="inlineStr">
        <is>
          <t>投资项</t>
        </is>
      </c>
      <c r="B4" s="4" t="inlineStr">
        <is>
          <t>金额(万元)</t>
        </is>
      </c>
      <c r="C4" s="4" t="inlineStr">
        <is>
          <t>占比</t>
        </is>
      </c>
      <c r="D4" s="4" t="inlineStr">
        <is>
          <t>说明</t>
        </is>
      </c>
    </row>
    <row r="5">
      <c r="A5" t="inlineStr">
        <is>
          <t>土地购置</t>
        </is>
      </c>
      <c r="B5" s="5" t="n">
        <v>800</v>
      </c>
      <c r="C5" s="7" t="n">
        <v>0.08602150537634409</v>
      </c>
      <c r="D5" t="inlineStr"/>
    </row>
    <row r="6">
      <c r="A6" t="inlineStr">
        <is>
          <t>建设工程</t>
        </is>
      </c>
      <c r="B6" s="5" t="n">
        <v>2500</v>
      </c>
      <c r="C6" s="7" t="n">
        <v>0.2688172043010753</v>
      </c>
      <c r="D6" t="inlineStr"/>
    </row>
    <row r="7">
      <c r="A7" t="inlineStr">
        <is>
          <t>设备购置</t>
        </is>
      </c>
      <c r="B7" s="5" t="n">
        <v>4500</v>
      </c>
      <c r="C7" s="7" t="n">
        <v>0.4838709677419355</v>
      </c>
      <c r="D7" t="inlineStr">
        <is>
          <t>核心投资</t>
        </is>
      </c>
    </row>
    <row r="8">
      <c r="A8" t="inlineStr">
        <is>
          <t>安装工程</t>
        </is>
      </c>
      <c r="B8" s="5" t="n">
        <v>800</v>
      </c>
      <c r="C8" s="7" t="n">
        <v>0.08602150537634409</v>
      </c>
      <c r="D8" t="inlineStr"/>
    </row>
    <row r="9">
      <c r="A9" t="inlineStr">
        <is>
          <t>其他费用</t>
        </is>
      </c>
      <c r="B9" s="5" t="n">
        <v>400</v>
      </c>
      <c r="C9" s="7" t="n">
        <v>0.04301075268817205</v>
      </c>
      <c r="D9" t="inlineStr"/>
    </row>
    <row r="10">
      <c r="A10" t="inlineStr">
        <is>
          <t>流动资金</t>
        </is>
      </c>
      <c r="B10" s="5" t="n">
        <v>300</v>
      </c>
      <c r="C10" s="7" t="n">
        <v>0.03225806451612903</v>
      </c>
      <c r="D10" t="inlineStr"/>
    </row>
    <row r="11">
      <c r="A11" s="12" t="inlineStr">
        <is>
          <t>合计</t>
        </is>
      </c>
      <c r="B11" s="13" t="n">
        <v>9300</v>
      </c>
      <c r="C11" s="14" t="n">
        <v>1</v>
      </c>
      <c r="D11" s="12" t="inlineStr"/>
    </row>
    <row r="14">
      <c r="A14" s="2" t="inlineStr">
        <is>
          <t>资金来源</t>
        </is>
      </c>
    </row>
    <row r="15">
      <c r="A15" s="4" t="inlineStr">
        <is>
          <t>资金来源</t>
        </is>
      </c>
      <c r="B15" s="4" t="inlineStr">
        <is>
          <t>金额(万元)</t>
        </is>
      </c>
      <c r="C15" s="4" t="inlineStr">
        <is>
          <t>占比</t>
        </is>
      </c>
      <c r="D15" s="4" t="inlineStr">
        <is>
          <t>说明</t>
        </is>
      </c>
    </row>
    <row r="16">
      <c r="A16" t="inlineStr">
        <is>
          <t>资本金</t>
        </is>
      </c>
      <c r="B16" s="5" t="n">
        <v>2790</v>
      </c>
      <c r="C16" s="7" t="n">
        <v>0.3</v>
      </c>
      <c r="D16" t="inlineStr">
        <is>
          <t>自有资金</t>
        </is>
      </c>
    </row>
    <row r="17">
      <c r="A17" t="inlineStr">
        <is>
          <t>银行贷款</t>
        </is>
      </c>
      <c r="B17" s="5" t="n">
        <v>6509.999999999999</v>
      </c>
      <c r="C17" s="7" t="n">
        <v>0.7</v>
      </c>
      <c r="D17" t="inlineStr">
        <is>
          <t>利率4.25%，10年</t>
        </is>
      </c>
    </row>
    <row r="18">
      <c r="A18" t="inlineStr">
        <is>
          <t>合计</t>
        </is>
      </c>
      <c r="B18" s="5" t="n">
        <v>9300</v>
      </c>
      <c r="C18" s="7" t="n">
        <v>1</v>
      </c>
      <c r="D18" t="inlineStr"/>
    </row>
  </sheetData>
  <mergeCells count="3">
    <mergeCell ref="A14:E14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2026-03-08T01:49:43Z</dcterms:created>
  <dcterms:modified xmlns:dcterms="http://purl.org/dc/terms/" xmlns:xsi="http://www.w3.org/2001/XMLSchema-instance" xsi:type="dcterms:W3CDTF">2026-03-08T01:49:43Z</dcterms:modified>
</cp:coreProperties>
</file>