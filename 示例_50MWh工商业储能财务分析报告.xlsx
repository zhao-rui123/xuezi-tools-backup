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摘要" sheetId="1" state="visible" r:id="rId1"/>
    <sheet xmlns:r="http://schemas.openxmlformats.org/officeDocument/2006/relationships" name="现金流明细" sheetId="2" state="visible" r:id="rId2"/>
    <sheet xmlns:r="http://schemas.openxmlformats.org/officeDocument/2006/relationships" name="投资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年&quot;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a3a6c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e7d32"/>
      <sz val="10"/>
    </font>
    <font>
      <name val="Microsoft YaHei"/>
      <b val="1"/>
      <color rgb="00e65100"/>
      <sz val="10"/>
    </font>
    <font>
      <name val="Microsoft YaHei"/>
      <b val="1"/>
      <color rgb="00c62828"/>
      <sz val="10"/>
    </font>
    <font>
      <b val="1"/>
    </font>
    <font>
      <color rgb="00c62828"/>
    </font>
  </fonts>
  <fills count="8">
    <fill>
      <patternFill/>
    </fill>
    <fill>
      <patternFill patternType="gray125"/>
    </fill>
    <fill>
      <patternFill patternType="solid">
        <fgColor rgb="001a3a6c"/>
        <bgColor rgb="001a3a6c"/>
      </patternFill>
    </fill>
    <fill>
      <patternFill patternType="solid">
        <fgColor rgb="00e8f4f8"/>
        <bgColor rgb="00e8f4f8"/>
      </patternFill>
    </fill>
    <fill>
      <patternFill patternType="solid">
        <fgColor rgb="002c5282"/>
        <bgColor rgb="002c5282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vertical="center"/>
    </xf>
    <xf numFmtId="0" fontId="2" fillId="3" borderId="1" applyAlignment="1">
      <alignment horizontal="left" vertical="center"/>
    </xf>
    <xf numFmtId="0" fontId="3" fillId="4" borderId="1" applyAlignment="1">
      <alignment horizontal="center" vertical="center"/>
    </xf>
    <xf numFmtId="0" fontId="4" fillId="0" borderId="1" applyAlignment="1">
      <alignment horizontal="right" vertical="center"/>
    </xf>
    <xf numFmtId="4" fontId="4" fillId="0" borderId="1" applyAlignment="1">
      <alignment horizontal="right" vertical="center"/>
    </xf>
    <xf numFmtId="10" fontId="4" fillId="0" borderId="1" applyAlignment="1">
      <alignment horizontal="right" vertical="center"/>
    </xf>
    <xf numFmtId="0" fontId="5" fillId="5" borderId="1"/>
    <xf numFmtId="0" fontId="6" fillId="6" borderId="1"/>
    <xf numFmtId="0" fontId="7" fillId="7" borderId="1"/>
  </cellStyleXfs>
  <cellXfs count="16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3" borderId="1" applyAlignment="1" pivotButton="0" quotePrefix="0" xfId="2">
      <alignment horizontal="left" vertical="center"/>
    </xf>
    <xf numFmtId="0" fontId="8" fillId="0" borderId="0" pivotButton="0" quotePrefix="0" xfId="0"/>
    <xf numFmtId="0" fontId="3" fillId="4" borderId="1" applyAlignment="1" pivotButton="0" quotePrefix="0" xfId="3">
      <alignment horizontal="center" vertical="center"/>
    </xf>
    <xf numFmtId="4" fontId="0" fillId="0" borderId="0" pivotButton="0" quotePrefix="0" xfId="0"/>
    <xf numFmtId="0" fontId="7" fillId="7" borderId="1" pivotButton="0" quotePrefix="0" xfId="9"/>
    <xf numFmtId="10" fontId="0" fillId="0" borderId="0" pivotButton="0" quotePrefix="0" xfId="0"/>
    <xf numFmtId="164" fontId="0" fillId="0" borderId="0" pivotButton="0" quotePrefix="0" xfId="0"/>
    <xf numFmtId="0" fontId="5" fillId="5" borderId="1" pivotButton="0" quotePrefix="0" xfId="7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4" fontId="9" fillId="0" borderId="0" pivotButton="0" quotePrefix="0" xfId="0"/>
    <xf numFmtId="0" fontId="8" fillId="3" borderId="0" pivotButton="0" quotePrefix="0" xfId="0"/>
    <xf numFmtId="4" fontId="8" fillId="3" borderId="0" pivotButton="0" quotePrefix="0" xfId="0"/>
    <xf numFmtId="10" fontId="8" fillId="3" borderId="0" pivotButton="0" quotePrefix="0" xfId="0"/>
  </cellXfs>
  <cellStyles count="10">
    <cellStyle name="Normal" xfId="0" builtinId="0" hidden="0"/>
    <cellStyle name="title_style" xfId="1" hidden="0"/>
    <cellStyle name="subtitle_style" xfId="2" hidden="0"/>
    <cellStyle name="header_style" xfId="3" hidden="0"/>
    <cellStyle name="data_style" xfId="4" hidden="0"/>
    <cellStyle name="currency_style" xfId="5" hidden="0"/>
    <cellStyle name="percent_style" xfId="6" hidden="0"/>
    <cellStyle name="good_style" xfId="7" hidden="0"/>
    <cellStyle name="warning_style" xfId="8" hidden="0"/>
    <cellStyle name="danger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投资构成</a:t>
            </a:r>
          </a:p>
        </rich>
      </tx>
    </title>
    <plotArea>
      <pieChart>
        <varyColors val="1"/>
        <ser>
          <idx val="0"/>
          <order val="0"/>
          <tx>
            <strRef>
              <f>'财务摘要'!B16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'财务摘要'!$A$17:$A$22</f>
            </numRef>
          </cat>
          <val>
            <numRef>
              <f>'财务摘要'!$B$17:$B$22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现金流趋势</a:t>
            </a:r>
          </a:p>
        </rich>
      </tx>
    </title>
    <plotArea>
      <lineChart>
        <grouping val="standard"/>
        <ser>
          <idx val="0"/>
          <order val="0"/>
          <tx>
            <strRef>
              <f>'现金流明细'!H3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'现金流明细'!$A$4:$A$15</f>
            </numRef>
          </cat>
          <val>
            <numRef>
              <f>'现金流明细'!$H$4:$H$15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金额(万元)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 ht="35" customHeight="1">
      <c r="A1" s="1" t="inlineStr">
        <is>
          <t>项目投资财务分析报告</t>
        </is>
      </c>
    </row>
    <row r="3">
      <c r="A3" s="2" t="inlineStr">
        <is>
          <t>项目基本信息</t>
        </is>
      </c>
    </row>
    <row r="4">
      <c r="A4" s="3" t="inlineStr">
        <is>
          <t>项目名称</t>
        </is>
      </c>
      <c r="B4" t="inlineStr">
        <is>
          <t>50MWh工商业储能项目</t>
        </is>
      </c>
      <c r="C4" t="inlineStr"/>
      <c r="D4" s="3" t="inlineStr">
        <is>
          <t>项目类型</t>
        </is>
      </c>
      <c r="E4" t="inlineStr">
        <is>
          <t>工商业储能</t>
        </is>
      </c>
      <c r="F4" t="inlineStr"/>
    </row>
    <row r="5">
      <c r="A5" s="3" t="inlineStr">
        <is>
          <t>运营期</t>
        </is>
      </c>
      <c r="B5" t="inlineStr">
        <is>
          <t>12年</t>
        </is>
      </c>
      <c r="C5" t="inlineStr"/>
      <c r="D5" s="3" t="inlineStr">
        <is>
          <t>企业类型</t>
        </is>
      </c>
      <c r="E5" t="inlineStr">
        <is>
          <t>高新技术企业</t>
        </is>
      </c>
      <c r="F5" t="inlineStr"/>
    </row>
    <row r="6">
      <c r="A6" s="3" t="inlineStr">
        <is>
          <t>分析日期</t>
        </is>
      </c>
      <c r="B6" t="inlineStr">
        <is>
          <t>2026-03-07</t>
        </is>
      </c>
      <c r="C6" t="inlineStr"/>
      <c r="D6" s="3" t="inlineStr">
        <is>
          <t>所在地区</t>
        </is>
      </c>
      <c r="E6" t="inlineStr">
        <is>
          <t>市区</t>
        </is>
      </c>
      <c r="F6" t="inlineStr"/>
    </row>
    <row r="8">
      <c r="A8" s="2" t="inlineStr">
        <is>
          <t>核心财务指标</t>
        </is>
      </c>
    </row>
    <row r="9">
      <c r="A9" s="4" t="inlineStr">
        <is>
          <t>指标</t>
        </is>
      </c>
      <c r="B9" s="4" t="inlineStr">
        <is>
          <t>数值</t>
        </is>
      </c>
      <c r="C9" s="4" t="inlineStr">
        <is>
          <t>判断</t>
        </is>
      </c>
      <c r="D9" s="4" t="inlineStr">
        <is>
          <t>指标</t>
        </is>
      </c>
      <c r="E9" s="4" t="inlineStr">
        <is>
          <t>数值</t>
        </is>
      </c>
      <c r="F9" s="4" t="inlineStr">
        <is>
          <t>判断</t>
        </is>
      </c>
    </row>
    <row r="10">
      <c r="A10" t="inlineStr">
        <is>
          <t>净现值(NPV)</t>
        </is>
      </c>
      <c r="B10" s="5" t="n">
        <v>-2499171.988778967</v>
      </c>
      <c r="C10" s="6" t="inlineStr">
        <is>
          <t>✗ 不可行</t>
        </is>
      </c>
      <c r="D10" t="inlineStr">
        <is>
          <t>内部收益率(IRR)</t>
        </is>
      </c>
      <c r="E10" s="7" t="n">
        <v>0</v>
      </c>
      <c r="F10" t="inlineStr">
        <is>
          <t>✗ 较差</t>
        </is>
      </c>
    </row>
    <row r="11">
      <c r="A11" t="inlineStr">
        <is>
          <t>静态回收期</t>
        </is>
      </c>
      <c r="B11" s="8" t="n">
        <v>9.22474634552602</v>
      </c>
      <c r="C11" s="9" t="inlineStr">
        <is>
          <t>✓ 良好</t>
        </is>
      </c>
      <c r="D11" t="inlineStr">
        <is>
          <t>动态回收期</t>
        </is>
      </c>
      <c r="E11" s="8" t="n">
        <v/>
      </c>
      <c r="F11" t="inlineStr">
        <is>
          <t>✗ 较长</t>
        </is>
      </c>
    </row>
    <row r="12">
      <c r="A12" t="inlineStr">
        <is>
          <t>投资利润率(ROI)</t>
        </is>
      </c>
      <c r="B12" s="7" t="n">
        <v>1.489180245001323</v>
      </c>
      <c r="C12" t="inlineStr"/>
      <c r="D12" t="inlineStr">
        <is>
          <t>资本金利润率(ROE)</t>
        </is>
      </c>
      <c r="E12" s="7" t="n">
        <v>4.96393415000441</v>
      </c>
      <c r="F12" t="inlineStr"/>
    </row>
    <row r="15">
      <c r="A15" s="2" t="inlineStr">
        <is>
          <t>投资构成分析</t>
        </is>
      </c>
    </row>
    <row r="16">
      <c r="A16" s="4" t="inlineStr">
        <is>
          <t>投资项</t>
        </is>
      </c>
      <c r="B16" s="4" t="inlineStr">
        <is>
          <t>金额(万元)</t>
        </is>
      </c>
    </row>
    <row r="17">
      <c r="A17" t="inlineStr">
        <is>
          <t>土地购置</t>
        </is>
      </c>
      <c r="B17" s="5" t="n">
        <v>200</v>
      </c>
    </row>
    <row r="18">
      <c r="A18" t="inlineStr">
        <is>
          <t>建设工程</t>
        </is>
      </c>
      <c r="B18" s="5" t="n">
        <v>800</v>
      </c>
    </row>
    <row r="19">
      <c r="A19" t="inlineStr">
        <is>
          <t>设备购置</t>
        </is>
      </c>
      <c r="B19" s="5" t="n">
        <v>1800</v>
      </c>
    </row>
    <row r="20">
      <c r="A20" t="inlineStr">
        <is>
          <t>安装工程</t>
        </is>
      </c>
      <c r="B20" s="5" t="n">
        <v>300</v>
      </c>
    </row>
    <row r="21">
      <c r="A21" t="inlineStr">
        <is>
          <t>其他费用</t>
        </is>
      </c>
      <c r="B21" s="5" t="n">
        <v>150</v>
      </c>
    </row>
    <row r="22">
      <c r="A22" t="inlineStr">
        <is>
          <t>流动资金</t>
        </is>
      </c>
      <c r="B22" s="5" t="n">
        <v>100</v>
      </c>
    </row>
    <row r="25">
      <c r="A25" s="2" t="inlineStr">
        <is>
          <t>分析结论</t>
        </is>
      </c>
    </row>
    <row r="26" ht="80" customHeight="1">
      <c r="A26" s="10" t="inlineStr">
        <is>
          <t>✗ 项目净现值NPV为¥-249.92万元，小于0，项目财务上不可行。
⚠ 内部收益率IRR为0.00%，低于折现率8%，投资回报一般。
• 静态回收期9.22年，动态回收期inf年。
• 投资利润率ROI为148.92%，资本金利润率ROE为496.39%。
【综合建议】该项目财务指标不佳，建议重新评估或放弃投资。</t>
        </is>
      </c>
    </row>
    <row r="27"/>
    <row r="28"/>
    <row r="29"/>
    <row r="30"/>
  </sheetData>
  <mergeCells count="6">
    <mergeCell ref="A1:F1"/>
    <mergeCell ref="A26:F30"/>
    <mergeCell ref="A8:F8"/>
    <mergeCell ref="A15:D15"/>
    <mergeCell ref="A3:F3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项目现金流明细表</t>
        </is>
      </c>
    </row>
    <row r="3">
      <c r="A3" s="4" t="inlineStr">
        <is>
          <t>年份</t>
        </is>
      </c>
      <c r="B3" s="4" t="inlineStr">
        <is>
          <t>营业收入</t>
        </is>
      </c>
      <c r="C3" s="4" t="inlineStr">
        <is>
          <t>营业成本</t>
        </is>
      </c>
      <c r="D3" s="4" t="inlineStr">
        <is>
          <t>折旧</t>
        </is>
      </c>
      <c r="E3" s="4" t="inlineStr">
        <is>
          <t>利息</t>
        </is>
      </c>
      <c r="F3" s="4" t="inlineStr">
        <is>
          <t>所得税</t>
        </is>
      </c>
      <c r="G3" s="4" t="inlineStr">
        <is>
          <t>净利润</t>
        </is>
      </c>
      <c r="H3" s="4" t="inlineStr">
        <is>
          <t>现金流</t>
        </is>
      </c>
      <c r="I3" s="4" t="inlineStr">
        <is>
          <t>累计现金流</t>
        </is>
      </c>
    </row>
    <row r="4">
      <c r="A4" s="11" t="n">
        <v>1</v>
      </c>
      <c r="B4" s="5" t="n">
        <v>980</v>
      </c>
      <c r="C4" s="5" t="n">
        <v>220</v>
      </c>
      <c r="D4" s="5" t="n">
        <v>205.8333333333333</v>
      </c>
      <c r="E4" s="5" t="n">
        <v>99.66250000000001</v>
      </c>
      <c r="F4" s="5" t="n">
        <v>68.175625</v>
      </c>
      <c r="G4" s="5" t="n">
        <v>386.3285416666667</v>
      </c>
      <c r="H4" s="5" t="n">
        <v>339.9221102815042</v>
      </c>
      <c r="I4" s="12" t="n">
        <v>-3010.077889718495</v>
      </c>
    </row>
    <row r="5">
      <c r="A5" s="11" t="n">
        <v>2</v>
      </c>
      <c r="B5" s="5" t="n">
        <v>980</v>
      </c>
      <c r="C5" s="5" t="n">
        <v>224.4</v>
      </c>
      <c r="D5" s="5" t="n">
        <v>205.8333333333333</v>
      </c>
      <c r="E5" s="5" t="n">
        <v>88.94230999946394</v>
      </c>
      <c r="F5" s="5" t="n">
        <v>69.12365350008039</v>
      </c>
      <c r="G5" s="5" t="n">
        <v>391.7007031671223</v>
      </c>
      <c r="H5" s="5" t="n">
        <v>334.5740817814237</v>
      </c>
      <c r="I5" s="12" t="n">
        <v>-2675.503807937072</v>
      </c>
    </row>
    <row r="6">
      <c r="A6" s="11" t="n">
        <v>3</v>
      </c>
      <c r="B6" s="5" t="n">
        <v>980</v>
      </c>
      <c r="C6" s="5" t="n">
        <v>228.888</v>
      </c>
      <c r="D6" s="5" t="n">
        <v>205.8333333333333</v>
      </c>
      <c r="E6" s="5" t="n">
        <v>77.76651192390507</v>
      </c>
      <c r="F6" s="5" t="n">
        <v>70.12682321141423</v>
      </c>
      <c r="G6" s="5" t="n">
        <v>397.3853315313474</v>
      </c>
      <c r="H6" s="5" t="n">
        <v>329.08291207009</v>
      </c>
      <c r="I6" s="12" t="n">
        <v>-2346.420895866982</v>
      </c>
    </row>
    <row r="7">
      <c r="A7" s="11" t="n">
        <v>4</v>
      </c>
      <c r="B7" s="5" t="n">
        <v>980</v>
      </c>
      <c r="C7" s="5" t="n">
        <v>233.46576</v>
      </c>
      <c r="D7" s="5" t="n">
        <v>205.8333333333333</v>
      </c>
      <c r="E7" s="5" t="n">
        <v>66.11574243013497</v>
      </c>
      <c r="F7" s="5" t="n">
        <v>71.18777463547976</v>
      </c>
      <c r="G7" s="5" t="n">
        <v>403.3973896010519</v>
      </c>
      <c r="H7" s="5" t="n">
        <v>323.4442006460245</v>
      </c>
      <c r="I7" s="12" t="n">
        <v>-2022.976695220957</v>
      </c>
    </row>
    <row r="8">
      <c r="A8" s="11" t="n">
        <v>5</v>
      </c>
      <c r="B8" s="5" t="n">
        <v>980</v>
      </c>
      <c r="C8" s="5" t="n">
        <v>238.1350752</v>
      </c>
      <c r="D8" s="5" t="n">
        <v>205.8333333333333</v>
      </c>
      <c r="E8" s="5" t="n">
        <v>53.96981523287963</v>
      </c>
      <c r="F8" s="5" t="n">
        <v>72.30926643506804</v>
      </c>
      <c r="G8" s="5" t="n">
        <v>409.752509798719</v>
      </c>
      <c r="H8" s="5" t="n">
        <v>317.6533936464361</v>
      </c>
      <c r="I8" s="12" t="n">
        <v>-1705.323301574521</v>
      </c>
    </row>
    <row r="9">
      <c r="A9" s="11" t="n">
        <v>6</v>
      </c>
      <c r="B9" s="5" t="n">
        <v>980</v>
      </c>
      <c r="C9" s="5" t="n">
        <v>242.897776704</v>
      </c>
      <c r="D9" s="5" t="n">
        <v>205.8333333333333</v>
      </c>
      <c r="E9" s="5" t="n">
        <v>41.30768612974094</v>
      </c>
      <c r="F9" s="5" t="n">
        <v>73.49418057493888</v>
      </c>
      <c r="G9" s="5" t="n">
        <v>416.467023257987</v>
      </c>
      <c r="H9" s="5" t="n">
        <v>311.7057780025655</v>
      </c>
      <c r="I9" s="12" t="n">
        <v>-1393.617523571956</v>
      </c>
    </row>
    <row r="10">
      <c r="A10" s="11" t="n">
        <v>7</v>
      </c>
      <c r="B10" s="5" t="n">
        <v>980</v>
      </c>
      <c r="C10" s="5" t="n">
        <v>247.75573223808</v>
      </c>
      <c r="D10" s="5" t="n">
        <v>205.8333333333333</v>
      </c>
      <c r="E10" s="5" t="n">
        <v>28.10741653971886</v>
      </c>
      <c r="F10" s="5" t="n">
        <v>74.74552768333018</v>
      </c>
      <c r="G10" s="5" t="n">
        <v>423.5579902055377</v>
      </c>
      <c r="H10" s="5" t="n">
        <v>305.5964753600941</v>
      </c>
      <c r="I10" s="12" t="n">
        <v>-1088.021048211862</v>
      </c>
    </row>
    <row r="11">
      <c r="A11" s="11" t="n">
        <v>8</v>
      </c>
      <c r="B11" s="5" t="n">
        <v>980</v>
      </c>
      <c r="C11" s="5" t="n">
        <v>252.7108468828416</v>
      </c>
      <c r="D11" s="5" t="n">
        <v>205.8333333333333</v>
      </c>
      <c r="E11" s="5" t="n">
        <v>14.34613549212084</v>
      </c>
      <c r="F11" s="5" t="n">
        <v>76.06645264375564</v>
      </c>
      <c r="G11" s="5" t="n">
        <v>431.0432316479486</v>
      </c>
      <c r="H11" s="5" t="n">
        <v>299.320435754907</v>
      </c>
      <c r="I11" s="12" t="n">
        <v>-788.7006124569548</v>
      </c>
    </row>
    <row r="12">
      <c r="A12" s="11" t="n">
        <v>9</v>
      </c>
      <c r="B12" s="5" t="n">
        <v>980</v>
      </c>
      <c r="C12" s="5" t="n">
        <v>257.7650638204985</v>
      </c>
      <c r="D12" s="5" t="n">
        <v>205.8333333333333</v>
      </c>
      <c r="E12" s="5" t="n">
        <v>0</v>
      </c>
      <c r="F12" s="5" t="n">
        <v>77.46024042692524</v>
      </c>
      <c r="G12" s="5" t="n">
        <v>438.9413624192431</v>
      </c>
      <c r="H12" s="5" t="n">
        <v>644.7746957525763</v>
      </c>
      <c r="I12" s="12" t="n">
        <v>-143.9259167043785</v>
      </c>
    </row>
    <row r="13">
      <c r="A13" s="11" t="n">
        <v>10</v>
      </c>
      <c r="B13" s="5" t="n">
        <v>980</v>
      </c>
      <c r="C13" s="5" t="n">
        <v>262.9203650969084</v>
      </c>
      <c r="D13" s="5" t="n">
        <v>205.8333333333333</v>
      </c>
      <c r="E13" s="5" t="n">
        <v>0</v>
      </c>
      <c r="F13" s="5" t="n">
        <v>76.68694523546374</v>
      </c>
      <c r="G13" s="5" t="n">
        <v>434.5593563342946</v>
      </c>
      <c r="H13" s="5" t="n">
        <v>640.3926896676279</v>
      </c>
      <c r="I13" s="5" t="n">
        <v>496.4667729632494</v>
      </c>
    </row>
    <row r="14">
      <c r="A14" s="11" t="n">
        <v>11</v>
      </c>
      <c r="B14" s="5" t="n">
        <v>980</v>
      </c>
      <c r="C14" s="5" t="n">
        <v>268.1787723988466</v>
      </c>
      <c r="D14" s="5" t="n">
        <v>205.8333333333333</v>
      </c>
      <c r="E14" s="5" t="n">
        <v>0</v>
      </c>
      <c r="F14" s="5" t="n">
        <v>75.89818414017302</v>
      </c>
      <c r="G14" s="5" t="n">
        <v>430.0897101276472</v>
      </c>
      <c r="H14" s="5" t="n">
        <v>635.9230434609805</v>
      </c>
      <c r="I14" s="5" t="n">
        <v>1132.38981642423</v>
      </c>
    </row>
    <row r="15">
      <c r="A15" s="11" t="n">
        <v>12</v>
      </c>
      <c r="B15" s="5" t="n">
        <v>980</v>
      </c>
      <c r="C15" s="5" t="n">
        <v>273.5423478468235</v>
      </c>
      <c r="D15" s="5" t="n">
        <v>205.8333333333333</v>
      </c>
      <c r="E15" s="5" t="n">
        <v>0</v>
      </c>
      <c r="F15" s="5" t="n">
        <v>75.09364782297648</v>
      </c>
      <c r="G15" s="5" t="n">
        <v>425.5306709968667</v>
      </c>
      <c r="H15" s="5" t="n">
        <v>893.8640043301999</v>
      </c>
      <c r="I15" s="5" t="n">
        <v>2026.25382075443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5" customWidth="1" min="4" max="4"/>
  </cols>
  <sheetData>
    <row r="1">
      <c r="A1" s="1" t="inlineStr">
        <is>
          <t>项目投资分析</t>
        </is>
      </c>
    </row>
    <row r="3">
      <c r="A3" s="2" t="inlineStr">
        <is>
          <t>投资构成明细</t>
        </is>
      </c>
    </row>
    <row r="4">
      <c r="A4" s="4" t="inlineStr">
        <is>
          <t>投资项</t>
        </is>
      </c>
      <c r="B4" s="4" t="inlineStr">
        <is>
          <t>金额(万元)</t>
        </is>
      </c>
      <c r="C4" s="4" t="inlineStr">
        <is>
          <t>占比</t>
        </is>
      </c>
      <c r="D4" s="4" t="inlineStr">
        <is>
          <t>说明</t>
        </is>
      </c>
    </row>
    <row r="5">
      <c r="A5" t="inlineStr">
        <is>
          <t>土地购置</t>
        </is>
      </c>
      <c r="B5" s="5" t="n">
        <v>200</v>
      </c>
      <c r="C5" s="7" t="n">
        <v>0.05970149253731343</v>
      </c>
      <c r="D5" t="inlineStr"/>
    </row>
    <row r="6">
      <c r="A6" t="inlineStr">
        <is>
          <t>建设工程</t>
        </is>
      </c>
      <c r="B6" s="5" t="n">
        <v>800</v>
      </c>
      <c r="C6" s="7" t="n">
        <v>0.2388059701492537</v>
      </c>
      <c r="D6" t="inlineStr"/>
    </row>
    <row r="7">
      <c r="A7" t="inlineStr">
        <is>
          <t>设备购置</t>
        </is>
      </c>
      <c r="B7" s="5" t="n">
        <v>1800</v>
      </c>
      <c r="C7" s="7" t="n">
        <v>0.5373134328358209</v>
      </c>
      <c r="D7" t="inlineStr">
        <is>
          <t>核心投资</t>
        </is>
      </c>
    </row>
    <row r="8">
      <c r="A8" t="inlineStr">
        <is>
          <t>安装工程</t>
        </is>
      </c>
      <c r="B8" s="5" t="n">
        <v>300</v>
      </c>
      <c r="C8" s="7" t="n">
        <v>0.08955223880597014</v>
      </c>
      <c r="D8" t="inlineStr"/>
    </row>
    <row r="9">
      <c r="A9" t="inlineStr">
        <is>
          <t>其他费用</t>
        </is>
      </c>
      <c r="B9" s="5" t="n">
        <v>150</v>
      </c>
      <c r="C9" s="7" t="n">
        <v>0.04477611940298507</v>
      </c>
      <c r="D9" t="inlineStr"/>
    </row>
    <row r="10">
      <c r="A10" t="inlineStr">
        <is>
          <t>流动资金</t>
        </is>
      </c>
      <c r="B10" s="5" t="n">
        <v>100</v>
      </c>
      <c r="C10" s="7" t="n">
        <v>0.02985074626865672</v>
      </c>
      <c r="D10" t="inlineStr"/>
    </row>
    <row r="11">
      <c r="A11" s="13" t="inlineStr">
        <is>
          <t>合计</t>
        </is>
      </c>
      <c r="B11" s="14" t="n">
        <v>3350</v>
      </c>
      <c r="C11" s="15" t="n">
        <v>1</v>
      </c>
      <c r="D11" s="13" t="inlineStr"/>
    </row>
    <row r="14">
      <c r="A14" s="2" t="inlineStr">
        <is>
          <t>资金来源</t>
        </is>
      </c>
    </row>
    <row r="15">
      <c r="A15" s="4" t="inlineStr">
        <is>
          <t>资金来源</t>
        </is>
      </c>
      <c r="B15" s="4" t="inlineStr">
        <is>
          <t>金额(万元)</t>
        </is>
      </c>
      <c r="C15" s="4" t="inlineStr">
        <is>
          <t>占比</t>
        </is>
      </c>
      <c r="D15" s="4" t="inlineStr">
        <is>
          <t>说明</t>
        </is>
      </c>
    </row>
    <row r="16">
      <c r="A16" t="inlineStr">
        <is>
          <t>资本金</t>
        </is>
      </c>
      <c r="B16" s="5" t="n">
        <v>1005</v>
      </c>
      <c r="C16" s="7" t="n">
        <v>0.3</v>
      </c>
      <c r="D16" t="inlineStr">
        <is>
          <t>自有资金</t>
        </is>
      </c>
    </row>
    <row r="17">
      <c r="A17" t="inlineStr">
        <is>
          <t>银行贷款</t>
        </is>
      </c>
      <c r="B17" s="5" t="n">
        <v>2345</v>
      </c>
      <c r="C17" s="7" t="n">
        <v>0.7</v>
      </c>
      <c r="D17" t="inlineStr">
        <is>
          <t>利率4.25%，8年</t>
        </is>
      </c>
    </row>
    <row r="18">
      <c r="A18" t="inlineStr">
        <is>
          <t>合计</t>
        </is>
      </c>
      <c r="B18" s="5" t="n">
        <v>3350</v>
      </c>
      <c r="C18" s="7" t="n">
        <v>1</v>
      </c>
      <c r="D18" t="inlineStr"/>
    </row>
  </sheetData>
  <mergeCells count="3">
    <mergeCell ref="A14:E1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2026-03-08T01:50:07Z</dcterms:created>
  <dcterms:modified xmlns:dcterms="http://purl.org/dc/terms/" xmlns:xsi="http://www.w3.org/2001/XMLSchema-instance" xsi:type="dcterms:W3CDTF">2026-03-08T01:50:07Z</dcterms:modified>
</cp:coreProperties>
</file>