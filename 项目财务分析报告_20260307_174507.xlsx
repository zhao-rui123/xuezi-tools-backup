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摘要" sheetId="1" state="visible" r:id="rId1"/>
    <sheet xmlns:r="http://schemas.openxmlformats.org/officeDocument/2006/relationships" name="现金流明细" sheetId="2" state="visible" r:id="rId2"/>
    <sheet xmlns:r="http://schemas.openxmlformats.org/officeDocument/2006/relationships" name="投资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年&quot;"/>
  </numFmts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1a3a6c"/>
      <sz val="12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e7d32"/>
      <sz val="10"/>
    </font>
    <font>
      <name val="Microsoft YaHei"/>
      <b val="1"/>
      <color rgb="00e65100"/>
      <sz val="10"/>
    </font>
    <font>
      <name val="Microsoft YaHei"/>
      <b val="1"/>
      <color rgb="00c62828"/>
      <sz val="10"/>
    </font>
    <font>
      <b val="1"/>
    </font>
    <font>
      <color rgb="00c62828"/>
    </font>
  </fonts>
  <fills count="8">
    <fill>
      <patternFill/>
    </fill>
    <fill>
      <patternFill patternType="gray125"/>
    </fill>
    <fill>
      <patternFill patternType="solid">
        <fgColor rgb="001a3a6c"/>
        <bgColor rgb="001a3a6c"/>
      </patternFill>
    </fill>
    <fill>
      <patternFill patternType="solid">
        <fgColor rgb="00e8f4f8"/>
        <bgColor rgb="00e8f4f8"/>
      </patternFill>
    </fill>
    <fill>
      <patternFill patternType="solid">
        <fgColor rgb="002c5282"/>
        <bgColor rgb="002c5282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/>
  </borders>
  <cellStyleXfs count="10">
    <xf numFmtId="0" fontId="0" fillId="0" borderId="0"/>
    <xf numFmtId="0" fontId="1" fillId="2" borderId="1" applyAlignment="1">
      <alignment horizontal="center" vertical="center"/>
    </xf>
    <xf numFmtId="0" fontId="2" fillId="3" borderId="1" applyAlignment="1">
      <alignment horizontal="left" vertical="center"/>
    </xf>
    <xf numFmtId="0" fontId="3" fillId="4" borderId="1" applyAlignment="1">
      <alignment horizontal="center" vertical="center"/>
    </xf>
    <xf numFmtId="0" fontId="4" fillId="0" borderId="1" applyAlignment="1">
      <alignment horizontal="right" vertical="center"/>
    </xf>
    <xf numFmtId="4" fontId="4" fillId="0" borderId="1" applyAlignment="1">
      <alignment horizontal="right" vertical="center"/>
    </xf>
    <xf numFmtId="10" fontId="4" fillId="0" borderId="1" applyAlignment="1">
      <alignment horizontal="right" vertical="center"/>
    </xf>
    <xf numFmtId="0" fontId="5" fillId="5" borderId="1"/>
    <xf numFmtId="0" fontId="6" fillId="6" borderId="1"/>
    <xf numFmtId="0" fontId="7" fillId="7" borderId="1"/>
  </cellStyleXfs>
  <cellXfs count="15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3" borderId="1" applyAlignment="1" pivotButton="0" quotePrefix="0" xfId="2">
      <alignment horizontal="left" vertical="center"/>
    </xf>
    <xf numFmtId="0" fontId="8" fillId="0" borderId="0" pivotButton="0" quotePrefix="0" xfId="0"/>
    <xf numFmtId="0" fontId="3" fillId="4" borderId="1" applyAlignment="1" pivotButton="0" quotePrefix="0" xfId="3">
      <alignment horizontal="center" vertical="center"/>
    </xf>
    <xf numFmtId="4" fontId="0" fillId="0" borderId="0" pivotButton="0" quotePrefix="0" xfId="0"/>
    <xf numFmtId="0" fontId="7" fillId="7" borderId="1" pivotButton="0" quotePrefix="0" xfId="9"/>
    <xf numFmtId="1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4" fontId="9" fillId="0" borderId="0" pivotButton="0" quotePrefix="0" xfId="0"/>
    <xf numFmtId="0" fontId="8" fillId="3" borderId="0" pivotButton="0" quotePrefix="0" xfId="0"/>
    <xf numFmtId="4" fontId="8" fillId="3" borderId="0" pivotButton="0" quotePrefix="0" xfId="0"/>
    <xf numFmtId="10" fontId="8" fillId="3" borderId="0" pivotButton="0" quotePrefix="0" xfId="0"/>
  </cellXfs>
  <cellStyles count="10">
    <cellStyle name="Normal" xfId="0" builtinId="0" hidden="0"/>
    <cellStyle name="title_style" xfId="1" hidden="0"/>
    <cellStyle name="subtitle_style" xfId="2" hidden="0"/>
    <cellStyle name="header_style" xfId="3" hidden="0"/>
    <cellStyle name="data_style" xfId="4" hidden="0"/>
    <cellStyle name="currency_style" xfId="5" hidden="0"/>
    <cellStyle name="percent_style" xfId="6" hidden="0"/>
    <cellStyle name="good_style" xfId="7" hidden="0"/>
    <cellStyle name="warning_style" xfId="8" hidden="0"/>
    <cellStyle name="danger_style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投资构成</a:t>
            </a:r>
          </a:p>
        </rich>
      </tx>
    </title>
    <plotArea>
      <pieChart>
        <varyColors val="1"/>
        <ser>
          <idx val="0"/>
          <order val="0"/>
          <tx>
            <strRef>
              <f>'财务摘要'!B16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'财务摘要'!$A$17:$A$22</f>
            </numRef>
          </cat>
          <val>
            <numRef>
              <f>'财务摘要'!$B$17:$B$22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现金流趋势</a:t>
            </a:r>
          </a:p>
        </rich>
      </tx>
    </title>
    <plotArea>
      <lineChart>
        <grouping val="standard"/>
        <ser>
          <idx val="0"/>
          <order val="0"/>
          <tx>
            <strRef>
              <f>'现金流明细'!H3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'现金流明细'!$A$4:$A$18</f>
            </numRef>
          </cat>
          <val>
            <numRef>
              <f>'现金流明细'!$H$4:$H$18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金额(万元)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 ht="35" customHeight="1">
      <c r="A1" s="1" t="inlineStr">
        <is>
          <t>项目投资财务分析报告</t>
        </is>
      </c>
    </row>
    <row r="3">
      <c r="A3" s="2" t="inlineStr">
        <is>
          <t>项目基本信息</t>
        </is>
      </c>
    </row>
    <row r="4">
      <c r="A4" s="3" t="inlineStr">
        <is>
          <t>项目名称</t>
        </is>
      </c>
      <c r="B4" t="inlineStr">
        <is>
          <t>100MWh储能电站</t>
        </is>
      </c>
      <c r="C4" t="inlineStr"/>
      <c r="D4" s="3" t="inlineStr">
        <is>
          <t>项目类型</t>
        </is>
      </c>
      <c r="E4" t="inlineStr">
        <is>
          <t>储能电站</t>
        </is>
      </c>
      <c r="F4" t="inlineStr"/>
    </row>
    <row r="5">
      <c r="A5" s="3" t="inlineStr">
        <is>
          <t>运营期</t>
        </is>
      </c>
      <c r="B5" t="inlineStr">
        <is>
          <t>15年</t>
        </is>
      </c>
      <c r="C5" t="inlineStr"/>
      <c r="D5" s="3" t="inlineStr">
        <is>
          <t>企业类型</t>
        </is>
      </c>
      <c r="E5" t="inlineStr">
        <is>
          <t>高新技术企业</t>
        </is>
      </c>
      <c r="F5" t="inlineStr"/>
    </row>
    <row r="6">
      <c r="A6" s="3" t="inlineStr">
        <is>
          <t>分析日期</t>
        </is>
      </c>
      <c r="B6" t="inlineStr">
        <is>
          <t>2026-03-07</t>
        </is>
      </c>
      <c r="C6" t="inlineStr"/>
      <c r="D6" s="3" t="inlineStr">
        <is>
          <t>所在地区</t>
        </is>
      </c>
      <c r="E6" t="inlineStr">
        <is>
          <t>市区</t>
        </is>
      </c>
      <c r="F6" t="inlineStr"/>
    </row>
    <row r="8">
      <c r="A8" s="2" t="inlineStr">
        <is>
          <t>核心财务指标</t>
        </is>
      </c>
    </row>
    <row r="9">
      <c r="A9" s="4" t="inlineStr">
        <is>
          <t>指标</t>
        </is>
      </c>
      <c r="B9" s="4" t="inlineStr">
        <is>
          <t>数值</t>
        </is>
      </c>
      <c r="C9" s="4" t="inlineStr">
        <is>
          <t>判断</t>
        </is>
      </c>
      <c r="D9" s="4" t="inlineStr">
        <is>
          <t>指标</t>
        </is>
      </c>
      <c r="E9" s="4" t="inlineStr">
        <is>
          <t>数值</t>
        </is>
      </c>
      <c r="F9" s="4" t="inlineStr">
        <is>
          <t>判断</t>
        </is>
      </c>
    </row>
    <row r="10">
      <c r="A10" t="inlineStr">
        <is>
          <t>净现值(NPV)</t>
        </is>
      </c>
      <c r="B10" s="5" t="n">
        <v>-28548581.0787879</v>
      </c>
      <c r="C10" s="6" t="inlineStr">
        <is>
          <t>✗ 不可行</t>
        </is>
      </c>
      <c r="D10" t="inlineStr">
        <is>
          <t>内部收益率(IRR)</t>
        </is>
      </c>
      <c r="E10" s="7" t="n">
        <v>0</v>
      </c>
      <c r="F10" t="inlineStr">
        <is>
          <t>✗ 较差</t>
        </is>
      </c>
    </row>
    <row r="11">
      <c r="A11" t="inlineStr">
        <is>
          <t>静态回收期</t>
        </is>
      </c>
      <c r="B11" s="8" t="n">
        <v>14.59706841855532</v>
      </c>
      <c r="C11" s="6" t="inlineStr">
        <is>
          <t>✗ 较长</t>
        </is>
      </c>
      <c r="D11" t="inlineStr">
        <is>
          <t>动态回收期</t>
        </is>
      </c>
      <c r="E11" s="8" t="n">
        <v/>
      </c>
      <c r="F11" t="inlineStr">
        <is>
          <t>✗ 较长</t>
        </is>
      </c>
    </row>
    <row r="12">
      <c r="A12" t="inlineStr">
        <is>
          <t>投资利润率(ROI)</t>
        </is>
      </c>
      <c r="B12" s="7" t="n">
        <v>0.7794964291709207</v>
      </c>
      <c r="C12" t="inlineStr"/>
      <c r="D12" t="inlineStr">
        <is>
          <t>资本金利润率(ROE)</t>
        </is>
      </c>
      <c r="E12" s="7" t="n">
        <v>2.598321430569736</v>
      </c>
      <c r="F12" t="inlineStr"/>
    </row>
    <row r="15">
      <c r="A15" s="2" t="inlineStr">
        <is>
          <t>投资构成分析</t>
        </is>
      </c>
    </row>
    <row r="16">
      <c r="A16" s="4" t="inlineStr">
        <is>
          <t>投资项</t>
        </is>
      </c>
      <c r="B16" s="4" t="inlineStr">
        <is>
          <t>金额(万元)</t>
        </is>
      </c>
    </row>
    <row r="17">
      <c r="A17" t="inlineStr">
        <is>
          <t>土地购置</t>
        </is>
      </c>
      <c r="B17" s="5" t="n">
        <v>500</v>
      </c>
    </row>
    <row r="18">
      <c r="A18" t="inlineStr">
        <is>
          <t>建设工程</t>
        </is>
      </c>
      <c r="B18" s="5" t="n">
        <v>1500</v>
      </c>
    </row>
    <row r="19">
      <c r="A19" t="inlineStr">
        <is>
          <t>设备购置</t>
        </is>
      </c>
      <c r="B19" s="5" t="n">
        <v>3000</v>
      </c>
    </row>
    <row r="20">
      <c r="A20" t="inlineStr">
        <is>
          <t>安装工程</t>
        </is>
      </c>
      <c r="B20" s="5" t="n">
        <v>500</v>
      </c>
    </row>
    <row r="21">
      <c r="A21" t="inlineStr">
        <is>
          <t>其他费用</t>
        </is>
      </c>
      <c r="B21" s="5" t="n">
        <v>300</v>
      </c>
    </row>
    <row r="22">
      <c r="A22" t="inlineStr">
        <is>
          <t>流动资金</t>
        </is>
      </c>
      <c r="B22" s="5" t="n">
        <v>200</v>
      </c>
    </row>
    <row r="25">
      <c r="A25" s="2" t="inlineStr">
        <is>
          <t>分析结论</t>
        </is>
      </c>
    </row>
    <row r="26" ht="80" customHeight="1">
      <c r="A26" s="9" t="inlineStr">
        <is>
          <t>✗ 项目净现值NPV为¥-2854.86万元，小于0，项目财务上不可行。
⚠ 内部收益率IRR为0.00%，低于折现率8%，投资回报一般。
• 静态回收期14.60年，动态回收期inf年。
• 投资利润率ROI为77.95%，资本金利润率ROE为259.83%。
【综合建议】该项目财务指标不佳，建议重新评估或放弃投资。</t>
        </is>
      </c>
    </row>
    <row r="27"/>
    <row r="28"/>
    <row r="29"/>
    <row r="30"/>
  </sheetData>
  <mergeCells count="6">
    <mergeCell ref="A1:F1"/>
    <mergeCell ref="A26:F30"/>
    <mergeCell ref="A8:F8"/>
    <mergeCell ref="A15:D15"/>
    <mergeCell ref="A3:F3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项目现金流明细表</t>
        </is>
      </c>
    </row>
    <row r="3">
      <c r="A3" s="4" t="inlineStr">
        <is>
          <t>年份</t>
        </is>
      </c>
      <c r="B3" s="4" t="inlineStr">
        <is>
          <t>营业收入</t>
        </is>
      </c>
      <c r="C3" s="4" t="inlineStr">
        <is>
          <t>营业成本</t>
        </is>
      </c>
      <c r="D3" s="4" t="inlineStr">
        <is>
          <t>折旧</t>
        </is>
      </c>
      <c r="E3" s="4" t="inlineStr">
        <is>
          <t>利息</t>
        </is>
      </c>
      <c r="F3" s="4" t="inlineStr">
        <is>
          <t>所得税</t>
        </is>
      </c>
      <c r="G3" s="4" t="inlineStr">
        <is>
          <t>净利润</t>
        </is>
      </c>
      <c r="H3" s="4" t="inlineStr">
        <is>
          <t>现金流</t>
        </is>
      </c>
      <c r="I3" s="4" t="inlineStr">
        <is>
          <t>累计现金流</t>
        </is>
      </c>
    </row>
    <row r="4">
      <c r="A4" s="10" t="n">
        <v>1</v>
      </c>
      <c r="B4" s="5" t="n">
        <v>1200</v>
      </c>
      <c r="C4" s="5" t="n">
        <v>340</v>
      </c>
      <c r="D4" s="5" t="n">
        <v>367.3333333333334</v>
      </c>
      <c r="E4" s="5" t="n">
        <v>189</v>
      </c>
      <c r="F4" s="5" t="n">
        <v>45.54999999999999</v>
      </c>
      <c r="G4" s="5" t="n">
        <v>258.1166666666666</v>
      </c>
      <c r="H4" s="5" t="n">
        <v>283.6589486834342</v>
      </c>
      <c r="I4" s="11" t="n">
        <v>-5716.341051316566</v>
      </c>
    </row>
    <row r="5">
      <c r="A5" s="10" t="n">
        <v>2</v>
      </c>
      <c r="B5" s="5" t="n">
        <v>1200</v>
      </c>
      <c r="C5" s="5" t="n">
        <v>346.8</v>
      </c>
      <c r="D5" s="5" t="n">
        <v>367.3333333333334</v>
      </c>
      <c r="E5" s="5" t="n">
        <v>173.6194026907545</v>
      </c>
      <c r="F5" s="5" t="n">
        <v>46.8370895963868</v>
      </c>
      <c r="G5" s="5" t="n">
        <v>265.4101743795252</v>
      </c>
      <c r="H5" s="5" t="n">
        <v>275.5718590870472</v>
      </c>
      <c r="I5" s="11" t="n">
        <v>-5440.769192229519</v>
      </c>
    </row>
    <row r="6">
      <c r="A6" s="10" t="n">
        <v>3</v>
      </c>
      <c r="B6" s="5" t="n">
        <v>1200</v>
      </c>
      <c r="C6" s="5" t="n">
        <v>353.736</v>
      </c>
      <c r="D6" s="5" t="n">
        <v>367.3333333333334</v>
      </c>
      <c r="E6" s="5" t="n">
        <v>157.546678502593</v>
      </c>
      <c r="F6" s="5" t="n">
        <v>48.20759822461104</v>
      </c>
      <c r="G6" s="5" t="n">
        <v>273.1763899394626</v>
      </c>
      <c r="H6" s="5" t="n">
        <v>267.2653504588231</v>
      </c>
      <c r="I6" s="11" t="n">
        <v>-5173.503841770696</v>
      </c>
    </row>
    <row r="7">
      <c r="A7" s="10" t="n">
        <v>4</v>
      </c>
      <c r="B7" s="5" t="n">
        <v>1200</v>
      </c>
      <c r="C7" s="5" t="n">
        <v>360.8107200000001</v>
      </c>
      <c r="D7" s="5" t="n">
        <v>367.3333333333334</v>
      </c>
      <c r="E7" s="5" t="n">
        <v>140.7506817259643</v>
      </c>
      <c r="F7" s="5" t="n">
        <v>49.66578974110534</v>
      </c>
      <c r="G7" s="5" t="n">
        <v>281.4394751995969</v>
      </c>
      <c r="H7" s="5" t="n">
        <v>258.7324389423287</v>
      </c>
      <c r="I7" s="11" t="n">
        <v>-4914.771402828367</v>
      </c>
    </row>
    <row r="8">
      <c r="A8" s="10" t="n">
        <v>5</v>
      </c>
      <c r="B8" s="5" t="n">
        <v>1200</v>
      </c>
      <c r="C8" s="5" t="n">
        <v>368.0269344</v>
      </c>
      <c r="D8" s="5" t="n">
        <v>367.3333333333334</v>
      </c>
      <c r="E8" s="5" t="n">
        <v>123.1988650943872</v>
      </c>
      <c r="F8" s="5" t="n">
        <v>51.21613007584191</v>
      </c>
      <c r="G8" s="5" t="n">
        <v>290.2247370964375</v>
      </c>
      <c r="H8" s="5" t="n">
        <v>249.9658842075922</v>
      </c>
      <c r="I8" s="11" t="n">
        <v>-4664.805518620775</v>
      </c>
    </row>
    <row r="9">
      <c r="A9" s="10" t="n">
        <v>6</v>
      </c>
      <c r="B9" s="5" t="n">
        <v>1200</v>
      </c>
      <c r="C9" s="5" t="n">
        <v>375.387473088</v>
      </c>
      <c r="D9" s="5" t="n">
        <v>367.3333333333334</v>
      </c>
      <c r="E9" s="5" t="n">
        <v>104.8572167143891</v>
      </c>
      <c r="F9" s="5" t="n">
        <v>52.86329652964163</v>
      </c>
      <c r="G9" s="5" t="n">
        <v>299.5586803346359</v>
      </c>
      <c r="H9" s="5" t="n">
        <v>240.9581790657925</v>
      </c>
      <c r="I9" s="11" t="n">
        <v>-4423.847339554983</v>
      </c>
    </row>
    <row r="10">
      <c r="A10" s="10" t="n">
        <v>7</v>
      </c>
      <c r="B10" s="5" t="n">
        <v>1200</v>
      </c>
      <c r="C10" s="5" t="n">
        <v>382.89522254976</v>
      </c>
      <c r="D10" s="5" t="n">
        <v>367.3333333333334</v>
      </c>
      <c r="E10" s="5" t="n">
        <v>85.69019415729117</v>
      </c>
      <c r="F10" s="5" t="n">
        <v>54.61218749394232</v>
      </c>
      <c r="G10" s="5" t="n">
        <v>309.4690624656732</v>
      </c>
      <c r="H10" s="5" t="n">
        <v>231.7015386397319</v>
      </c>
      <c r="I10" s="11" t="n">
        <v>-4192.145800915251</v>
      </c>
    </row>
    <row r="11">
      <c r="A11" s="10" t="n">
        <v>8</v>
      </c>
      <c r="B11" s="5" t="n">
        <v>1200</v>
      </c>
      <c r="C11" s="5" t="n">
        <v>390.5531270007552</v>
      </c>
      <c r="D11" s="5" t="n">
        <v>367.3333333333334</v>
      </c>
      <c r="E11" s="5" t="n">
        <v>65.66065558512381</v>
      </c>
      <c r="F11" s="5" t="n">
        <v>56.46793261211813</v>
      </c>
      <c r="G11" s="5" t="n">
        <v>319.9849514686695</v>
      </c>
      <c r="H11" s="5" t="n">
        <v>222.1878890705608</v>
      </c>
      <c r="I11" s="11" t="n">
        <v>-3969.95791184469</v>
      </c>
    </row>
    <row r="12">
      <c r="A12" s="10" t="n">
        <v>9</v>
      </c>
      <c r="B12" s="5" t="n">
        <v>1200</v>
      </c>
      <c r="C12" s="5" t="n">
        <v>398.3641895407704</v>
      </c>
      <c r="D12" s="5" t="n">
        <v>367.3333333333334</v>
      </c>
      <c r="E12" s="5" t="n">
        <v>44.72978777720891</v>
      </c>
      <c r="F12" s="5" t="n">
        <v>58.43590340230311</v>
      </c>
      <c r="G12" s="5" t="n">
        <v>331.1367859463843</v>
      </c>
      <c r="H12" s="5" t="n">
        <v>212.4088557403607</v>
      </c>
      <c r="I12" s="11" t="n">
        <v>-3757.549056104329</v>
      </c>
    </row>
    <row r="13">
      <c r="A13" s="10" t="n">
        <v>10</v>
      </c>
      <c r="B13" s="5" t="n">
        <v>1200</v>
      </c>
      <c r="C13" s="5" t="n">
        <v>406.3314733315858</v>
      </c>
      <c r="D13" s="5" t="n">
        <v>367.3333333333334</v>
      </c>
      <c r="E13" s="5" t="n">
        <v>22.85703091793786</v>
      </c>
      <c r="F13" s="5" t="n">
        <v>60.52172436257145</v>
      </c>
      <c r="G13" s="5" t="n">
        <v>342.9564380545716</v>
      </c>
      <c r="H13" s="5" t="n">
        <v>202.3557509892769</v>
      </c>
      <c r="I13" s="11" t="n">
        <v>-3555.193305115052</v>
      </c>
    </row>
    <row r="14">
      <c r="A14" s="10" t="n">
        <v>11</v>
      </c>
      <c r="B14" s="5" t="n">
        <v>1200</v>
      </c>
      <c r="C14" s="5" t="n">
        <v>414.4581027982175</v>
      </c>
      <c r="D14" s="5" t="n">
        <v>367.3333333333334</v>
      </c>
      <c r="E14" s="5" t="n">
        <v>0</v>
      </c>
      <c r="F14" s="5" t="n">
        <v>62.73128458026736</v>
      </c>
      <c r="G14" s="5" t="n">
        <v>355.4772792881818</v>
      </c>
      <c r="H14" s="5" t="n">
        <v>722.810612621515</v>
      </c>
      <c r="I14" s="11" t="n">
        <v>-2832.382692493537</v>
      </c>
    </row>
    <row r="15">
      <c r="A15" s="10" t="n">
        <v>12</v>
      </c>
      <c r="B15" s="5" t="n">
        <v>1200</v>
      </c>
      <c r="C15" s="5" t="n">
        <v>422.7472648541818</v>
      </c>
      <c r="D15" s="5" t="n">
        <v>367.3333333333334</v>
      </c>
      <c r="E15" s="5" t="n">
        <v>0</v>
      </c>
      <c r="F15" s="5" t="n">
        <v>61.48791027187272</v>
      </c>
      <c r="G15" s="5" t="n">
        <v>348.4314915406121</v>
      </c>
      <c r="H15" s="5" t="n">
        <v>715.7648248739455</v>
      </c>
      <c r="I15" s="11" t="n">
        <v>-2116.617867619591</v>
      </c>
    </row>
    <row r="16">
      <c r="A16" s="10" t="n">
        <v>13</v>
      </c>
      <c r="B16" s="5" t="n">
        <v>1200</v>
      </c>
      <c r="C16" s="5" t="n">
        <v>431.2022101512655</v>
      </c>
      <c r="D16" s="5" t="n">
        <v>367.3333333333334</v>
      </c>
      <c r="E16" s="5" t="n">
        <v>0</v>
      </c>
      <c r="F16" s="5" t="n">
        <v>60.21966847731017</v>
      </c>
      <c r="G16" s="5" t="n">
        <v>341.244788038091</v>
      </c>
      <c r="H16" s="5" t="n">
        <v>708.5781213714243</v>
      </c>
      <c r="I16" s="11" t="n">
        <v>-1408.039746248167</v>
      </c>
    </row>
    <row r="17">
      <c r="A17" s="10" t="n">
        <v>14</v>
      </c>
      <c r="B17" s="5" t="n">
        <v>1200</v>
      </c>
      <c r="C17" s="5" t="n">
        <v>439.8262543542908</v>
      </c>
      <c r="D17" s="5" t="n">
        <v>367.3333333333334</v>
      </c>
      <c r="E17" s="5" t="n">
        <v>0</v>
      </c>
      <c r="F17" s="5" t="n">
        <v>58.92606184685636</v>
      </c>
      <c r="G17" s="5" t="n">
        <v>333.9143504655194</v>
      </c>
      <c r="H17" s="5" t="n">
        <v>701.2476837988528</v>
      </c>
      <c r="I17" s="11" t="n">
        <v>-706.7920624493145</v>
      </c>
    </row>
    <row r="18">
      <c r="A18" s="10" t="n">
        <v>15</v>
      </c>
      <c r="B18" s="5" t="n">
        <v>1200</v>
      </c>
      <c r="C18" s="5" t="n">
        <v>448.6227794413766</v>
      </c>
      <c r="D18" s="5" t="n">
        <v>367.3333333333334</v>
      </c>
      <c r="E18" s="5" t="n">
        <v>0</v>
      </c>
      <c r="F18" s="5" t="n">
        <v>57.60658308379351</v>
      </c>
      <c r="G18" s="5" t="n">
        <v>326.4373041414966</v>
      </c>
      <c r="H18" s="5" t="n">
        <v>1183.77063747483</v>
      </c>
      <c r="I18" s="5" t="n">
        <v>476.9785750255155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5" customWidth="1" min="4" max="4"/>
  </cols>
  <sheetData>
    <row r="1">
      <c r="A1" s="1" t="inlineStr">
        <is>
          <t>项目投资分析</t>
        </is>
      </c>
    </row>
    <row r="3">
      <c r="A3" s="2" t="inlineStr">
        <is>
          <t>投资构成明细</t>
        </is>
      </c>
    </row>
    <row r="4">
      <c r="A4" s="4" t="inlineStr">
        <is>
          <t>投资项</t>
        </is>
      </c>
      <c r="B4" s="4" t="inlineStr">
        <is>
          <t>金额(万元)</t>
        </is>
      </c>
      <c r="C4" s="4" t="inlineStr">
        <is>
          <t>占比</t>
        </is>
      </c>
      <c r="D4" s="4" t="inlineStr">
        <is>
          <t>说明</t>
        </is>
      </c>
    </row>
    <row r="5">
      <c r="A5" t="inlineStr">
        <is>
          <t>土地购置</t>
        </is>
      </c>
      <c r="B5" s="5" t="n">
        <v>500</v>
      </c>
      <c r="C5" s="7" t="n">
        <v>0.08333333333333333</v>
      </c>
      <c r="D5" t="inlineStr"/>
    </row>
    <row r="6">
      <c r="A6" t="inlineStr">
        <is>
          <t>建设工程</t>
        </is>
      </c>
      <c r="B6" s="5" t="n">
        <v>1500</v>
      </c>
      <c r="C6" s="7" t="n">
        <v>0.25</v>
      </c>
      <c r="D6" t="inlineStr"/>
    </row>
    <row r="7">
      <c r="A7" t="inlineStr">
        <is>
          <t>设备购置</t>
        </is>
      </c>
      <c r="B7" s="5" t="n">
        <v>3000</v>
      </c>
      <c r="C7" s="7" t="n">
        <v>0.5</v>
      </c>
      <c r="D7" t="inlineStr">
        <is>
          <t>核心投资</t>
        </is>
      </c>
    </row>
    <row r="8">
      <c r="A8" t="inlineStr">
        <is>
          <t>安装工程</t>
        </is>
      </c>
      <c r="B8" s="5" t="n">
        <v>500</v>
      </c>
      <c r="C8" s="7" t="n">
        <v>0.08333333333333333</v>
      </c>
      <c r="D8" t="inlineStr"/>
    </row>
    <row r="9">
      <c r="A9" t="inlineStr">
        <is>
          <t>其他费用</t>
        </is>
      </c>
      <c r="B9" s="5" t="n">
        <v>300</v>
      </c>
      <c r="C9" s="7" t="n">
        <v>0.05</v>
      </c>
      <c r="D9" t="inlineStr"/>
    </row>
    <row r="10">
      <c r="A10" t="inlineStr">
        <is>
          <t>流动资金</t>
        </is>
      </c>
      <c r="B10" s="5" t="n">
        <v>200</v>
      </c>
      <c r="C10" s="7" t="n">
        <v>0.03333333333333333</v>
      </c>
      <c r="D10" t="inlineStr"/>
    </row>
    <row r="11">
      <c r="A11" s="12" t="inlineStr">
        <is>
          <t>合计</t>
        </is>
      </c>
      <c r="B11" s="13" t="n">
        <v>6000</v>
      </c>
      <c r="C11" s="14" t="n">
        <v>1</v>
      </c>
      <c r="D11" s="12" t="inlineStr"/>
    </row>
    <row r="14">
      <c r="A14" s="2" t="inlineStr">
        <is>
          <t>资金来源</t>
        </is>
      </c>
    </row>
    <row r="15">
      <c r="A15" s="4" t="inlineStr">
        <is>
          <t>资金来源</t>
        </is>
      </c>
      <c r="B15" s="4" t="inlineStr">
        <is>
          <t>金额(万元)</t>
        </is>
      </c>
      <c r="C15" s="4" t="inlineStr">
        <is>
          <t>占比</t>
        </is>
      </c>
      <c r="D15" s="4" t="inlineStr">
        <is>
          <t>说明</t>
        </is>
      </c>
    </row>
    <row r="16">
      <c r="A16" t="inlineStr">
        <is>
          <t>资本金</t>
        </is>
      </c>
      <c r="B16" s="5" t="n">
        <v>1800</v>
      </c>
      <c r="C16" s="7" t="n">
        <v>0.3</v>
      </c>
      <c r="D16" t="inlineStr">
        <is>
          <t>自有资金</t>
        </is>
      </c>
    </row>
    <row r="17">
      <c r="A17" t="inlineStr">
        <is>
          <t>银行贷款</t>
        </is>
      </c>
      <c r="B17" s="5" t="n">
        <v>4200</v>
      </c>
      <c r="C17" s="7" t="n">
        <v>0.7</v>
      </c>
      <c r="D17" t="inlineStr">
        <is>
          <t>利率4.5%，10年</t>
        </is>
      </c>
    </row>
    <row r="18">
      <c r="A18" t="inlineStr">
        <is>
          <t>合计</t>
        </is>
      </c>
      <c r="B18" s="5" t="n">
        <v>6000</v>
      </c>
      <c r="C18" s="7" t="n">
        <v>1</v>
      </c>
      <c r="D18" t="inlineStr"/>
    </row>
  </sheetData>
  <mergeCells count="3">
    <mergeCell ref="A14:E14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2026-03-08T01:45:07Z</dcterms:created>
  <dcterms:modified xmlns:dcterms="http://purl.org/dc/terms/" xmlns:xsi="http://www.w3.org/2001/XMLSchema-instance" xsi:type="dcterms:W3CDTF">2026-03-08T01:45:07Z</dcterms:modified>
</cp:coreProperties>
</file>